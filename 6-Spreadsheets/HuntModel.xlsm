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heodore/Desktop/CE5364-F24/"/>
    </mc:Choice>
  </mc:AlternateContent>
  <xr:revisionPtr revIDLastSave="0" documentId="13_ncr:1_{CBD9AFA7-48D4-494C-9F79-23243C076C54}" xr6:coauthVersionLast="47" xr6:coauthVersionMax="47" xr10:uidLastSave="{00000000-0000-0000-0000-000000000000}"/>
  <bookViews>
    <workbookView xWindow="5540" yWindow="2300" windowWidth="27700" windowHeight="16940" xr2:uid="{5DB6C6BE-3CE5-384A-93D9-F045AA22D905}"/>
  </bookViews>
  <sheets>
    <sheet name="2DCLSAD-HUNT" sheetId="1" r:id="rId1"/>
  </sheets>
  <functionGroups builtInGroupCount="19"/>
  <externalReferences>
    <externalReference r:id="rId2"/>
    <externalReference r:id="rId3"/>
  </externalReferences>
  <definedNames>
    <definedName name="EEXP" function="1" xlm="1" functionGroupId="14">'[2]EEXP(Z)'!$A$1</definedName>
    <definedName name="erfcc" function="1" xlm="1" functionGroupId="14">'[2]ERFCC(Z)'!$E$1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1" i="1" l="1"/>
  <c r="A72" i="1" s="1"/>
  <c r="A70" i="1"/>
  <c r="D68" i="1"/>
  <c r="E68" i="1" s="1"/>
  <c r="F68" i="1" s="1"/>
  <c r="G68" i="1" s="1"/>
  <c r="H68" i="1" s="1"/>
  <c r="I68" i="1" s="1"/>
  <c r="J68" i="1" s="1"/>
  <c r="K68" i="1" s="1"/>
  <c r="L68" i="1" s="1"/>
  <c r="C68" i="1"/>
  <c r="B40" i="1"/>
  <c r="B37" i="1" s="1"/>
  <c r="B34" i="1"/>
  <c r="B26" i="1"/>
  <c r="B24" i="1"/>
  <c r="B69" i="1"/>
  <c r="A73" i="1" l="1"/>
  <c r="B36" i="1"/>
  <c r="B39" i="1" l="1"/>
  <c r="B38" i="1"/>
  <c r="B35" i="1"/>
  <c r="A74" i="1"/>
  <c r="I73" i="1"/>
  <c r="A75" i="1" l="1"/>
  <c r="B73" i="1"/>
  <c r="K74" i="1"/>
  <c r="E48" i="1"/>
  <c r="F69" i="1"/>
  <c r="B70" i="1"/>
  <c r="C70" i="1"/>
  <c r="K70" i="1"/>
  <c r="H72" i="1"/>
  <c r="D73" i="1"/>
  <c r="C73" i="1"/>
  <c r="J69" i="1"/>
  <c r="I70" i="1"/>
  <c r="G72" i="1"/>
  <c r="G74" i="1"/>
  <c r="F71" i="1"/>
  <c r="K71" i="1"/>
  <c r="I71" i="1"/>
  <c r="F74" i="1"/>
  <c r="D74" i="1"/>
  <c r="E52" i="1"/>
  <c r="E59" i="1"/>
  <c r="G69" i="1"/>
  <c r="D72" i="1"/>
  <c r="L72" i="1"/>
  <c r="I72" i="1"/>
  <c r="E46" i="1"/>
  <c r="B71" i="1"/>
  <c r="H69" i="1"/>
  <c r="E74" i="1"/>
  <c r="L74" i="1"/>
  <c r="F70" i="1"/>
  <c r="L70" i="1"/>
  <c r="H71" i="1"/>
  <c r="J71" i="1"/>
  <c r="C71" i="1"/>
  <c r="J72" i="1"/>
  <c r="E73" i="1"/>
  <c r="L73" i="1"/>
  <c r="D69" i="1"/>
  <c r="E58" i="1"/>
  <c r="I74" i="1"/>
  <c r="E56" i="1"/>
  <c r="L71" i="1"/>
  <c r="F72" i="1"/>
  <c r="E72" i="1"/>
  <c r="E71" i="1"/>
  <c r="E47" i="1"/>
  <c r="F73" i="1"/>
  <c r="E50" i="1"/>
  <c r="L69" i="1"/>
  <c r="J70" i="1"/>
  <c r="H74" i="1"/>
  <c r="B74" i="1"/>
  <c r="E70" i="1"/>
  <c r="G71" i="1"/>
  <c r="K69" i="1"/>
  <c r="G70" i="1"/>
  <c r="B72" i="1"/>
  <c r="C72" i="1"/>
  <c r="E51" i="1"/>
  <c r="E55" i="1"/>
  <c r="C74" i="1"/>
  <c r="E45" i="1"/>
  <c r="E54" i="1"/>
  <c r="J73" i="1"/>
  <c r="J74" i="1"/>
  <c r="K73" i="1"/>
  <c r="E57" i="1"/>
  <c r="C69" i="1"/>
  <c r="H70" i="1"/>
  <c r="D71" i="1"/>
  <c r="H73" i="1"/>
  <c r="E49" i="1"/>
  <c r="K72" i="1"/>
  <c r="G73" i="1"/>
  <c r="E69" i="1"/>
  <c r="D70" i="1"/>
  <c r="I69" i="1"/>
  <c r="E53" i="1"/>
  <c r="D53" i="1" l="1"/>
  <c r="D49" i="1"/>
  <c r="D57" i="1"/>
  <c r="D54" i="1"/>
  <c r="D45" i="1"/>
  <c r="D55" i="1"/>
  <c r="D51" i="1"/>
  <c r="D50" i="1"/>
  <c r="D47" i="1"/>
  <c r="D56" i="1"/>
  <c r="D58" i="1"/>
  <c r="D46" i="1"/>
  <c r="D59" i="1"/>
  <c r="D52" i="1"/>
  <c r="D48" i="1"/>
  <c r="A76" i="1"/>
  <c r="G75" i="1"/>
  <c r="I75" i="1"/>
  <c r="B75" i="1"/>
  <c r="K75" i="1"/>
  <c r="J75" i="1"/>
  <c r="H75" i="1"/>
  <c r="E75" i="1"/>
  <c r="D75" i="1"/>
  <c r="F75" i="1"/>
  <c r="C75" i="1"/>
  <c r="L75" i="1"/>
  <c r="A77" i="1" l="1"/>
  <c r="E76" i="1"/>
  <c r="K76" i="1"/>
  <c r="J76" i="1"/>
  <c r="C76" i="1"/>
  <c r="H76" i="1"/>
  <c r="F76" i="1"/>
  <c r="D76" i="1"/>
  <c r="I76" i="1"/>
  <c r="L76" i="1"/>
  <c r="B76" i="1"/>
  <c r="G76" i="1"/>
  <c r="A78" i="1" l="1"/>
  <c r="C77" i="1"/>
  <c r="L77" i="1"/>
  <c r="G77" i="1"/>
  <c r="F77" i="1"/>
  <c r="E77" i="1"/>
  <c r="J77" i="1"/>
  <c r="H77" i="1"/>
  <c r="I77" i="1"/>
  <c r="B77" i="1"/>
  <c r="K77" i="1"/>
  <c r="D77" i="1"/>
  <c r="A79" i="1" l="1"/>
  <c r="F78" i="1"/>
  <c r="J78" i="1"/>
  <c r="C78" i="1"/>
  <c r="K78" i="1"/>
  <c r="H78" i="1"/>
  <c r="E78" i="1"/>
  <c r="G78" i="1"/>
  <c r="L78" i="1"/>
  <c r="D78" i="1"/>
  <c r="B78" i="1"/>
  <c r="I78" i="1"/>
  <c r="A80" i="1" l="1"/>
  <c r="J79" i="1"/>
  <c r="E79" i="1"/>
  <c r="H79" i="1"/>
  <c r="F79" i="1"/>
  <c r="C79" i="1"/>
  <c r="L79" i="1"/>
  <c r="I79" i="1"/>
  <c r="D79" i="1"/>
  <c r="B79" i="1"/>
  <c r="G79" i="1"/>
  <c r="K79" i="1"/>
  <c r="A81" i="1" l="1"/>
  <c r="K80" i="1"/>
  <c r="I80" i="1"/>
  <c r="D80" i="1"/>
  <c r="G80" i="1"/>
  <c r="E80" i="1"/>
  <c r="F80" i="1"/>
  <c r="J80" i="1"/>
  <c r="B80" i="1"/>
  <c r="L80" i="1"/>
  <c r="H80" i="1"/>
  <c r="C80" i="1"/>
  <c r="A82" i="1" l="1"/>
  <c r="B81" i="1"/>
  <c r="C81" i="1"/>
  <c r="G81" i="1"/>
  <c r="E81" i="1"/>
  <c r="F81" i="1"/>
  <c r="L81" i="1"/>
  <c r="K81" i="1"/>
  <c r="D81" i="1"/>
  <c r="I81" i="1"/>
  <c r="J81" i="1"/>
  <c r="H81" i="1"/>
  <c r="A83" i="1" l="1"/>
  <c r="E82" i="1"/>
  <c r="C82" i="1"/>
  <c r="G82" i="1"/>
  <c r="F82" i="1"/>
  <c r="K82" i="1"/>
  <c r="H82" i="1"/>
  <c r="J82" i="1"/>
  <c r="I82" i="1"/>
  <c r="L82" i="1"/>
  <c r="D82" i="1"/>
  <c r="B82" i="1"/>
  <c r="A84" i="1" l="1"/>
  <c r="J83" i="1"/>
  <c r="C83" i="1"/>
  <c r="D83" i="1"/>
  <c r="I83" i="1"/>
  <c r="L83" i="1"/>
  <c r="K83" i="1"/>
  <c r="H83" i="1"/>
  <c r="G83" i="1"/>
  <c r="F83" i="1"/>
  <c r="B83" i="1"/>
  <c r="E83" i="1"/>
  <c r="A85" i="1" l="1"/>
  <c r="E84" i="1"/>
  <c r="B84" i="1"/>
  <c r="F84" i="1"/>
  <c r="H84" i="1"/>
  <c r="J84" i="1"/>
  <c r="G84" i="1"/>
  <c r="C84" i="1"/>
  <c r="K84" i="1"/>
  <c r="D84" i="1"/>
  <c r="I84" i="1"/>
  <c r="L84" i="1"/>
  <c r="A86" i="1" l="1"/>
  <c r="B85" i="1"/>
  <c r="G85" i="1"/>
  <c r="I85" i="1"/>
  <c r="K85" i="1"/>
  <c r="E85" i="1"/>
  <c r="L85" i="1"/>
  <c r="J85" i="1"/>
  <c r="H85" i="1"/>
  <c r="F85" i="1"/>
  <c r="C85" i="1"/>
  <c r="D85" i="1"/>
  <c r="A87" i="1" l="1"/>
  <c r="G86" i="1"/>
  <c r="I86" i="1"/>
  <c r="K86" i="1"/>
  <c r="D86" i="1"/>
  <c r="J86" i="1"/>
  <c r="E86" i="1"/>
  <c r="F86" i="1"/>
  <c r="L86" i="1"/>
  <c r="B86" i="1"/>
  <c r="C86" i="1"/>
  <c r="H86" i="1"/>
  <c r="A88" i="1" l="1"/>
  <c r="J87" i="1"/>
  <c r="G87" i="1"/>
  <c r="D87" i="1"/>
  <c r="L87" i="1"/>
  <c r="I87" i="1"/>
  <c r="F87" i="1"/>
  <c r="E87" i="1"/>
  <c r="B87" i="1"/>
  <c r="K87" i="1"/>
  <c r="C87" i="1"/>
  <c r="H87" i="1"/>
  <c r="A89" i="1" l="1"/>
  <c r="E88" i="1"/>
  <c r="J88" i="1"/>
  <c r="F88" i="1"/>
  <c r="G88" i="1"/>
  <c r="K88" i="1"/>
  <c r="H88" i="1"/>
  <c r="I88" i="1"/>
  <c r="C88" i="1"/>
  <c r="D88" i="1"/>
  <c r="B88" i="1"/>
  <c r="L88" i="1"/>
  <c r="A90" i="1" l="1"/>
  <c r="B89" i="1"/>
  <c r="F89" i="1"/>
  <c r="K89" i="1"/>
  <c r="E89" i="1"/>
  <c r="J89" i="1"/>
  <c r="C89" i="1"/>
  <c r="H89" i="1"/>
  <c r="I89" i="1"/>
  <c r="L89" i="1"/>
  <c r="D89" i="1"/>
  <c r="G89" i="1"/>
  <c r="A91" i="1" l="1"/>
  <c r="E90" i="1"/>
  <c r="D90" i="1"/>
  <c r="L90" i="1"/>
  <c r="I90" i="1"/>
  <c r="H90" i="1"/>
  <c r="C90" i="1"/>
  <c r="G90" i="1"/>
  <c r="B90" i="1"/>
  <c r="F90" i="1"/>
  <c r="J90" i="1"/>
  <c r="K90" i="1"/>
  <c r="A92" i="1" l="1"/>
  <c r="L91" i="1"/>
  <c r="I91" i="1"/>
  <c r="G91" i="1"/>
  <c r="J91" i="1"/>
  <c r="K91" i="1"/>
  <c r="B91" i="1"/>
  <c r="D91" i="1"/>
  <c r="F91" i="1"/>
  <c r="C91" i="1"/>
  <c r="H91" i="1"/>
  <c r="E91" i="1"/>
  <c r="A93" i="1" l="1"/>
  <c r="E92" i="1"/>
  <c r="B92" i="1"/>
  <c r="H92" i="1"/>
  <c r="F92" i="1"/>
  <c r="J92" i="1"/>
  <c r="K92" i="1"/>
  <c r="I92" i="1"/>
  <c r="G92" i="1"/>
  <c r="C92" i="1"/>
  <c r="L92" i="1"/>
  <c r="D92" i="1"/>
  <c r="A94" i="1" l="1"/>
  <c r="C93" i="1"/>
  <c r="I93" i="1"/>
  <c r="L93" i="1"/>
  <c r="J93" i="1"/>
  <c r="K93" i="1"/>
  <c r="D93" i="1"/>
  <c r="H93" i="1"/>
  <c r="F93" i="1"/>
  <c r="G93" i="1"/>
  <c r="E93" i="1"/>
  <c r="B93" i="1"/>
  <c r="A95" i="1" l="1"/>
  <c r="E94" i="1"/>
  <c r="J94" i="1"/>
  <c r="C94" i="1"/>
  <c r="I94" i="1"/>
  <c r="D94" i="1"/>
  <c r="H94" i="1"/>
  <c r="F94" i="1"/>
  <c r="K94" i="1"/>
  <c r="B94" i="1"/>
  <c r="G94" i="1"/>
  <c r="L94" i="1"/>
  <c r="A96" i="1" l="1"/>
  <c r="B95" i="1"/>
  <c r="J95" i="1"/>
  <c r="D95" i="1"/>
  <c r="I95" i="1"/>
  <c r="F95" i="1"/>
  <c r="L95" i="1"/>
  <c r="G95" i="1"/>
  <c r="E95" i="1"/>
  <c r="H95" i="1"/>
  <c r="K95" i="1"/>
  <c r="C95" i="1"/>
  <c r="A97" i="1" l="1"/>
  <c r="K96" i="1"/>
  <c r="I96" i="1"/>
  <c r="E96" i="1"/>
  <c r="L96" i="1"/>
  <c r="F96" i="1"/>
  <c r="D96" i="1"/>
  <c r="G96" i="1"/>
  <c r="B96" i="1"/>
  <c r="H96" i="1"/>
  <c r="J96" i="1"/>
  <c r="C96" i="1"/>
  <c r="A98" i="1" l="1"/>
  <c r="I97" i="1"/>
  <c r="L97" i="1"/>
  <c r="J97" i="1"/>
  <c r="G97" i="1"/>
  <c r="K97" i="1"/>
  <c r="B97" i="1"/>
  <c r="F97" i="1"/>
  <c r="C97" i="1"/>
  <c r="H97" i="1"/>
  <c r="E97" i="1"/>
  <c r="D97" i="1"/>
  <c r="E98" i="1" l="1"/>
  <c r="G98" i="1"/>
  <c r="F98" i="1"/>
  <c r="K98" i="1"/>
  <c r="L98" i="1"/>
  <c r="I98" i="1"/>
  <c r="D98" i="1"/>
  <c r="H98" i="1"/>
  <c r="B98" i="1"/>
  <c r="C98" i="1"/>
  <c r="J98" i="1"/>
</calcChain>
</file>

<file path=xl/sharedStrings.xml><?xml version="1.0" encoding="utf-8"?>
<sst xmlns="http://schemas.openxmlformats.org/spreadsheetml/2006/main" count="74" uniqueCount="72">
  <si>
    <t>Model Name:</t>
  </si>
  <si>
    <t>2D_continuous_line_source_advection_dispersion_hunt</t>
  </si>
  <si>
    <t>Model Type:</t>
  </si>
  <si>
    <t>Contaminant Transport</t>
  </si>
  <si>
    <t>Dispersion Dimension:</t>
  </si>
  <si>
    <t>Advection:</t>
  </si>
  <si>
    <t>Yes</t>
  </si>
  <si>
    <t>Dispersion:</t>
  </si>
  <si>
    <t>Source History:</t>
  </si>
  <si>
    <t>Constant Injection</t>
  </si>
  <si>
    <t>Source Dimension:</t>
  </si>
  <si>
    <t>Line (Point)</t>
  </si>
  <si>
    <t>Decay:</t>
  </si>
  <si>
    <t>None</t>
  </si>
  <si>
    <t>Retardation:</t>
  </si>
  <si>
    <t xml:space="preserve">References: </t>
  </si>
  <si>
    <t>Hunt, B. 1978. Dispersive Sources in Uniform Groundwater Flow.  J. of Hydraulics, ASCE, Vol 104., No. HY1, pp 75-85.</t>
  </si>
  <si>
    <t>Bear, J. 1979.  Groundwater Hydrology</t>
  </si>
  <si>
    <t>Yuan, D, 1995. ``Accurate approximations for one-, two-, and three-dimensional groundwater mass transport from an exponentially decaying contaminant source.'' MS Thesis, Department of Civil and Environmental Engineering, University of Houston</t>
  </si>
  <si>
    <t xml:space="preserve">Method: </t>
  </si>
  <si>
    <t>Author:</t>
  </si>
  <si>
    <t>Dr. T.G. Cleveland for CIVE6361/7332 Students; Spring 1995</t>
  </si>
  <si>
    <t>Rewrite in VBA Mac Excel 2011 Fall 2015</t>
  </si>
  <si>
    <t>Notes:</t>
  </si>
  <si>
    <t>Model Graphics illustrate how to create plume maps and histories at specified location.</t>
  </si>
  <si>
    <t>VBA Macros are SLOW -- Make Changes and Wait for Recalculation</t>
  </si>
  <si>
    <t>Macros:</t>
  </si>
  <si>
    <t>W(U),LEAKY(U,V)</t>
  </si>
  <si>
    <t>Well Functions contained in Module1 as local to this worksheet macros</t>
  </si>
  <si>
    <t>MODEL INPUT VALUES</t>
  </si>
  <si>
    <t>Input Data</t>
  </si>
  <si>
    <t>Co</t>
  </si>
  <si>
    <t>Input Concentration (mg/m^3)</t>
  </si>
  <si>
    <t>Co (computed)</t>
  </si>
  <si>
    <t>mg/L</t>
  </si>
  <si>
    <t>Q</t>
  </si>
  <si>
    <t>Injection Rate (m^3/day)</t>
  </si>
  <si>
    <t>Q (computed)</t>
  </si>
  <si>
    <t>gpm</t>
  </si>
  <si>
    <t>m</t>
  </si>
  <si>
    <t>Aquifer Thickness (m)</t>
  </si>
  <si>
    <t>n</t>
  </si>
  <si>
    <t>Porosity</t>
  </si>
  <si>
    <t>q</t>
  </si>
  <si>
    <t>Specific discharge</t>
  </si>
  <si>
    <r>
      <rPr>
        <sz val="12"/>
        <rFont val="Symbol"/>
        <charset val="2"/>
      </rPr>
      <t>a</t>
    </r>
    <r>
      <rPr>
        <vertAlign val="subscript"/>
        <sz val="12"/>
        <rFont val="Arial"/>
        <family val="2"/>
      </rPr>
      <t>l</t>
    </r>
  </si>
  <si>
    <t>Longitudinal Dispersivity (m)</t>
  </si>
  <si>
    <r>
      <rPr>
        <sz val="12"/>
        <rFont val="Symbol"/>
        <charset val="2"/>
      </rPr>
      <t>a</t>
    </r>
    <r>
      <rPr>
        <vertAlign val="subscript"/>
        <sz val="12"/>
        <rFont val="Arial"/>
        <family val="2"/>
      </rPr>
      <t>t</t>
    </r>
  </si>
  <si>
    <t>Transverse Dispersivity (m)</t>
  </si>
  <si>
    <t>Computed Constants</t>
  </si>
  <si>
    <t>M</t>
  </si>
  <si>
    <t>Mass Loading Rate (mg/day)</t>
  </si>
  <si>
    <t>B</t>
  </si>
  <si>
    <t>Dl</t>
  </si>
  <si>
    <t>Dt</t>
  </si>
  <si>
    <t>Dl/Dt</t>
  </si>
  <si>
    <t>Dl*Dt</t>
  </si>
  <si>
    <t>u</t>
  </si>
  <si>
    <t>Velocity</t>
  </si>
  <si>
    <t>Time Calculations</t>
  </si>
  <si>
    <t>(mg/L)</t>
  </si>
  <si>
    <t>(mg/m^3)</t>
  </si>
  <si>
    <t>x-coordinate</t>
  </si>
  <si>
    <t>y-coordinate</t>
  </si>
  <si>
    <t>t-coordinate</t>
  </si>
  <si>
    <t>C(x.y.t)</t>
  </si>
  <si>
    <t>C(x,y,t)</t>
  </si>
  <si>
    <t>Plume Calculations</t>
  </si>
  <si>
    <t>Time</t>
  </si>
  <si>
    <t>dx</t>
  </si>
  <si>
    <t>dy</t>
  </si>
  <si>
    <t>&lt;= Y =&gt;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</si>
</sst>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name val="Aptos Narrow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2"/>
      <name val="Arial"/>
      <family val="2"/>
    </font>
    <font>
      <sz val="12"/>
      <name val="Symbol"/>
      <charset val="2"/>
    </font>
    <font>
      <vertAlign val="subscript"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textRotation="90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2" borderId="6" xfId="1" applyBorder="1"/>
    <xf numFmtId="0" fontId="0" fillId="0" borderId="7" xfId="0" applyBorder="1"/>
    <xf numFmtId="0" fontId="0" fillId="0" borderId="8" xfId="0" applyBorder="1"/>
    <xf numFmtId="0" fontId="0" fillId="0" borderId="9" xfId="0" applyBorder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'2DCLSAD-HUNT'!$D$43</c:f>
              <c:strCache>
                <c:ptCount val="1"/>
                <c:pt idx="0">
                  <c:v>(mg/L)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strRef>
              <c:f>'2DCLSAD-HUNT'!$C$44:$C$59</c:f>
              <c:strCache>
                <c:ptCount val="16"/>
                <c:pt idx="0">
                  <c:v>t-coordinate</c:v>
                </c:pt>
                <c:pt idx="1">
                  <c:v>0.0001</c:v>
                </c:pt>
                <c:pt idx="2">
                  <c:v>0.001</c:v>
                </c:pt>
                <c:pt idx="3">
                  <c:v>0.01</c:v>
                </c:pt>
                <c:pt idx="4">
                  <c:v>0.1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8</c:v>
                </c:pt>
                <c:pt idx="9">
                  <c:v>16</c:v>
                </c:pt>
                <c:pt idx="10">
                  <c:v>32</c:v>
                </c:pt>
                <c:pt idx="11">
                  <c:v>64</c:v>
                </c:pt>
                <c:pt idx="12">
                  <c:v>128</c:v>
                </c:pt>
                <c:pt idx="13">
                  <c:v>256</c:v>
                </c:pt>
                <c:pt idx="14">
                  <c:v>512</c:v>
                </c:pt>
                <c:pt idx="15">
                  <c:v>1024</c:v>
                </c:pt>
              </c:strCache>
            </c:strRef>
          </c:xVal>
          <c:yVal>
            <c:numRef>
              <c:f>'2DCLSAD-HUNT'!$D$44:$D$59</c:f>
              <c:numCache>
                <c:formatCode>General</c:formatCode>
                <c:ptCount val="16"/>
                <c:pt idx="0">
                  <c:v>0</c:v>
                </c:pt>
                <c:pt idx="1">
                  <c:v>1.4162210646443757E-13</c:v>
                </c:pt>
                <c:pt idx="2">
                  <c:v>6.590605396853356E-3</c:v>
                </c:pt>
                <c:pt idx="3">
                  <c:v>0.27591599337605177</c:v>
                </c:pt>
                <c:pt idx="4">
                  <c:v>0.82386094591890757</c:v>
                </c:pt>
                <c:pt idx="5">
                  <c:v>1.3718059639871558</c:v>
                </c:pt>
                <c:pt idx="6">
                  <c:v>1.4997485610085111</c:v>
                </c:pt>
                <c:pt idx="7">
                  <c:v>1.5897155912616319</c:v>
                </c:pt>
                <c:pt idx="8">
                  <c:v>1.6347961991416073</c:v>
                </c:pt>
                <c:pt idx="9">
                  <c:v>1.6467304366873976</c:v>
                </c:pt>
                <c:pt idx="10">
                  <c:v>1.6477302020798357</c:v>
                </c:pt>
                <c:pt idx="11">
                  <c:v>1.6477302020798357</c:v>
                </c:pt>
                <c:pt idx="12">
                  <c:v>1.6477302020798357</c:v>
                </c:pt>
                <c:pt idx="13">
                  <c:v>1.6477302020798357</c:v>
                </c:pt>
                <c:pt idx="14">
                  <c:v>1.6477302020798357</c:v>
                </c:pt>
                <c:pt idx="15">
                  <c:v>1.6477302020798357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11-3744-909A-C5AC5C0C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3334120"/>
        <c:axId val="-2083331096"/>
      </c:scatterChart>
      <c:valAx>
        <c:axId val="-2083334120"/>
        <c:scaling>
          <c:orientation val="minMax"/>
        </c:scaling>
        <c:delete val="0"/>
        <c:axPos val="b"/>
        <c:majorTickMark val="out"/>
        <c:minorTickMark val="none"/>
        <c:tickLblPos val="nextTo"/>
        <c:crossAx val="-2083331096"/>
        <c:crosses val="autoZero"/>
        <c:crossBetween val="midCat"/>
      </c:valAx>
      <c:valAx>
        <c:axId val="-2083331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83334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view3D>
      <c:rotX val="90"/>
      <c:hPercent val="100"/>
      <c:rotY val="9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1.1403670307340614E-2"/>
          <c:y val="6.5857978761829084E-2"/>
          <c:w val="0.92101942687491933"/>
          <c:h val="0.73534955444260974"/>
        </c:manualLayout>
      </c:layout>
      <c:surface3DChart>
        <c:wireframe val="0"/>
        <c:ser>
          <c:idx val="0"/>
          <c:order val="0"/>
          <c:tx>
            <c:strRef>
              <c:f>'2DCLSAD-HUNT'!$B$68</c:f>
              <c:strCache>
                <c:ptCount val="1"/>
                <c:pt idx="0">
                  <c:v>-1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'2DCLSAD-HUNT'!$B$69:$B$98</c:f>
              <c:numCache>
                <c:formatCode>General</c:formatCode>
                <c:ptCount val="30"/>
                <c:pt idx="0">
                  <c:v>2.4218255185598225E-3</c:v>
                </c:pt>
                <c:pt idx="1">
                  <c:v>3.1498043425257668E-3</c:v>
                </c:pt>
                <c:pt idx="2">
                  <c:v>3.9418561216170971E-3</c:v>
                </c:pt>
                <c:pt idx="3">
                  <c:v>4.7427060095107804E-3</c:v>
                </c:pt>
                <c:pt idx="4">
                  <c:v>5.4830759559554099E-3</c:v>
                </c:pt>
                <c:pt idx="5">
                  <c:v>6.0899501949772759E-3</c:v>
                </c:pt>
                <c:pt idx="6">
                  <c:v>6.4994366118199297E-3</c:v>
                </c:pt>
                <c:pt idx="7">
                  <c:v>6.6687691512144244E-3</c:v>
                </c:pt>
                <c:pt idx="8">
                  <c:v>6.5840296868660414E-3</c:v>
                </c:pt>
                <c:pt idx="9">
                  <c:v>6.2615727303888509E-3</c:v>
                </c:pt>
                <c:pt idx="10">
                  <c:v>5.743230413789868E-3</c:v>
                </c:pt>
                <c:pt idx="11">
                  <c:v>5.087193724077922E-3</c:v>
                </c:pt>
                <c:pt idx="12">
                  <c:v>4.3573383849544924E-3</c:v>
                </c:pt>
                <c:pt idx="13">
                  <c:v>3.6135870261085868E-3</c:v>
                </c:pt>
                <c:pt idx="14">
                  <c:v>3.3154000050871391E-3</c:v>
                </c:pt>
                <c:pt idx="15">
                  <c:v>2.5506947418129007E-3</c:v>
                </c:pt>
                <c:pt idx="16">
                  <c:v>1.9001271215195704E-3</c:v>
                </c:pt>
                <c:pt idx="17">
                  <c:v>1.3712839948478682E-3</c:v>
                </c:pt>
                <c:pt idx="18">
                  <c:v>9.5911682209374322E-4</c:v>
                </c:pt>
                <c:pt idx="19">
                  <c:v>6.5036681484074738E-4</c:v>
                </c:pt>
                <c:pt idx="20">
                  <c:v>4.2766239505415116E-4</c:v>
                </c:pt>
                <c:pt idx="21">
                  <c:v>2.7276401760091817E-4</c:v>
                </c:pt>
                <c:pt idx="22">
                  <c:v>1.687651254755434E-4</c:v>
                </c:pt>
                <c:pt idx="23">
                  <c:v>1.0130639363374625E-4</c:v>
                </c:pt>
                <c:pt idx="24">
                  <c:v>5.9004391461890857E-5</c:v>
                </c:pt>
                <c:pt idx="25">
                  <c:v>3.3346375088622355E-5</c:v>
                </c:pt>
                <c:pt idx="26">
                  <c:v>1.8287073081273996E-5</c:v>
                </c:pt>
                <c:pt idx="27">
                  <c:v>9.7314683833744073E-6</c:v>
                </c:pt>
                <c:pt idx="28">
                  <c:v>5.0251948973337202E-6</c:v>
                </c:pt>
                <c:pt idx="29">
                  <c:v>2.5180551215537209E-6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7-ED43-9640-2D8CB8FC3982}"/>
            </c:ext>
          </c:extLst>
        </c:ser>
        <c:ser>
          <c:idx val="1"/>
          <c:order val="1"/>
          <c:tx>
            <c:strRef>
              <c:f>'2DCLSAD-HUNT'!$C$68</c:f>
              <c:strCache>
                <c:ptCount val="1"/>
                <c:pt idx="0">
                  <c:v>-0.8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'2DCLSAD-HUNT'!$C$69:$C$98</c:f>
              <c:numCache>
                <c:formatCode>General</c:formatCode>
                <c:ptCount val="30"/>
                <c:pt idx="0">
                  <c:v>7.9095405235118758E-3</c:v>
                </c:pt>
                <c:pt idx="1">
                  <c:v>1.0449462693475173E-2</c:v>
                </c:pt>
                <c:pt idx="2">
                  <c:v>1.323528907005884E-2</c:v>
                </c:pt>
                <c:pt idx="3">
                  <c:v>1.6045516946458328E-2</c:v>
                </c:pt>
                <c:pt idx="4">
                  <c:v>1.8598558345379088E-2</c:v>
                </c:pt>
                <c:pt idx="5">
                  <c:v>2.0603596725688317E-2</c:v>
                </c:pt>
                <c:pt idx="6">
                  <c:v>2.1822867815962665E-2</c:v>
                </c:pt>
                <c:pt idx="7">
                  <c:v>2.2123861284043918E-2</c:v>
                </c:pt>
                <c:pt idx="8">
                  <c:v>2.1503351447132002E-2</c:v>
                </c:pt>
                <c:pt idx="9">
                  <c:v>2.007770166724767E-2</c:v>
                </c:pt>
                <c:pt idx="10">
                  <c:v>1.804732319552696E-2</c:v>
                </c:pt>
                <c:pt idx="11">
                  <c:v>1.5650236804033761E-2</c:v>
                </c:pt>
                <c:pt idx="12">
                  <c:v>1.3118927842975097E-2</c:v>
                </c:pt>
                <c:pt idx="13">
                  <c:v>1.0649282029567643E-2</c:v>
                </c:pt>
                <c:pt idx="14">
                  <c:v>8.384314987895599E-3</c:v>
                </c:pt>
                <c:pt idx="15">
                  <c:v>6.4110174923785969E-3</c:v>
                </c:pt>
                <c:pt idx="16">
                  <c:v>4.7664754954719075E-3</c:v>
                </c:pt>
                <c:pt idx="17">
                  <c:v>3.9074039110964884E-3</c:v>
                </c:pt>
                <c:pt idx="18">
                  <c:v>2.701126252291347E-3</c:v>
                </c:pt>
                <c:pt idx="19">
                  <c:v>1.812156886223996E-3</c:v>
                </c:pt>
                <c:pt idx="20">
                  <c:v>1.1801165131142335E-3</c:v>
                </c:pt>
                <c:pt idx="21">
                  <c:v>7.4608285905219853E-4</c:v>
                </c:pt>
                <c:pt idx="22">
                  <c:v>4.5794686539199524E-4</c:v>
                </c:pt>
                <c:pt idx="23">
                  <c:v>2.7291351048606532E-4</c:v>
                </c:pt>
                <c:pt idx="24">
                  <c:v>1.5791395039137715E-4</c:v>
                </c:pt>
                <c:pt idx="25">
                  <c:v>8.871476583293089E-5</c:v>
                </c:pt>
                <c:pt idx="26">
                  <c:v>4.8388156892972123E-5</c:v>
                </c:pt>
                <c:pt idx="27">
                  <c:v>2.5623186240581596E-5</c:v>
                </c:pt>
                <c:pt idx="28">
                  <c:v>1.3172190351396975E-5</c:v>
                </c:pt>
                <c:pt idx="29">
                  <c:v>6.5734221927984375E-6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7-ED43-9640-2D8CB8FC3982}"/>
            </c:ext>
          </c:extLst>
        </c:ser>
        <c:ser>
          <c:idx val="2"/>
          <c:order val="2"/>
          <c:tx>
            <c:strRef>
              <c:f>'2DCLSAD-HUNT'!$D$68</c:f>
              <c:strCache>
                <c:ptCount val="1"/>
                <c:pt idx="0">
                  <c:v>-0.6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'2DCLSAD-HUNT'!$D$69:$D$98</c:f>
              <c:numCache>
                <c:formatCode>General</c:formatCode>
                <c:ptCount val="30"/>
                <c:pt idx="0">
                  <c:v>2.2386680183613724E-2</c:v>
                </c:pt>
                <c:pt idx="1">
                  <c:v>3.0343642648279042E-2</c:v>
                </c:pt>
                <c:pt idx="2">
                  <c:v>3.8482996758147252E-2</c:v>
                </c:pt>
                <c:pt idx="3">
                  <c:v>4.7347156038178913E-2</c:v>
                </c:pt>
                <c:pt idx="4">
                  <c:v>5.5163900823176751E-2</c:v>
                </c:pt>
                <c:pt idx="5">
                  <c:v>6.0797645202802952E-2</c:v>
                </c:pt>
                <c:pt idx="6">
                  <c:v>6.3453250042312115E-2</c:v>
                </c:pt>
                <c:pt idx="7">
                  <c:v>6.4245520036616155E-2</c:v>
                </c:pt>
                <c:pt idx="8">
                  <c:v>6.0863106404288179E-2</c:v>
                </c:pt>
                <c:pt idx="9">
                  <c:v>5.5231264834640206E-2</c:v>
                </c:pt>
                <c:pt idx="10">
                  <c:v>4.8200157900845579E-2</c:v>
                </c:pt>
                <c:pt idx="11">
                  <c:v>4.0591812124996476E-2</c:v>
                </c:pt>
                <c:pt idx="12">
                  <c:v>3.3081765296513931E-2</c:v>
                </c:pt>
                <c:pt idx="13">
                  <c:v>2.6150877955112183E-2</c:v>
                </c:pt>
                <c:pt idx="14">
                  <c:v>2.0086717933478913E-2</c:v>
                </c:pt>
                <c:pt idx="15">
                  <c:v>1.5012986648752738E-2</c:v>
                </c:pt>
                <c:pt idx="16">
                  <c:v>1.0930515032910548E-2</c:v>
                </c:pt>
                <c:pt idx="17">
                  <c:v>7.75904627585371E-3</c:v>
                </c:pt>
                <c:pt idx="18">
                  <c:v>5.373640919954804E-3</c:v>
                </c:pt>
                <c:pt idx="19">
                  <c:v>4.0840753946148785E-3</c:v>
                </c:pt>
                <c:pt idx="20">
                  <c:v>2.633138969896968E-3</c:v>
                </c:pt>
                <c:pt idx="21">
                  <c:v>1.6499830333551329E-3</c:v>
                </c:pt>
                <c:pt idx="22">
                  <c:v>1.0048054823257912E-3</c:v>
                </c:pt>
                <c:pt idx="23">
                  <c:v>5.9462480680759521E-4</c:v>
                </c:pt>
                <c:pt idx="24">
                  <c:v>3.4191535797146202E-4</c:v>
                </c:pt>
                <c:pt idx="25">
                  <c:v>1.9101251908742778E-4</c:v>
                </c:pt>
                <c:pt idx="26">
                  <c:v>1.0366321143804725E-4</c:v>
                </c:pt>
                <c:pt idx="27">
                  <c:v>5.4646104044736305E-5</c:v>
                </c:pt>
                <c:pt idx="28">
                  <c:v>2.7978123423960229E-5</c:v>
                </c:pt>
                <c:pt idx="29">
                  <c:v>1.3910971083399191E-5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97-ED43-9640-2D8CB8FC3982}"/>
            </c:ext>
          </c:extLst>
        </c:ser>
        <c:ser>
          <c:idx val="3"/>
          <c:order val="3"/>
          <c:tx>
            <c:strRef>
              <c:f>'2DCLSAD-HUNT'!$E$68</c:f>
              <c:strCache>
                <c:ptCount val="1"/>
                <c:pt idx="0">
                  <c:v>-0.4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'2DCLSAD-HUNT'!$E$69:$E$98</c:f>
              <c:numCache>
                <c:formatCode>General</c:formatCode>
                <c:ptCount val="30"/>
                <c:pt idx="0">
                  <c:v>5.3679435292550849E-2</c:v>
                </c:pt>
                <c:pt idx="1">
                  <c:v>7.6457528721557921E-2</c:v>
                </c:pt>
                <c:pt idx="2">
                  <c:v>0.10323437148469015</c:v>
                </c:pt>
                <c:pt idx="3">
                  <c:v>0.1307591557329679</c:v>
                </c:pt>
                <c:pt idx="4">
                  <c:v>0.15396534643191517</c:v>
                </c:pt>
                <c:pt idx="5">
                  <c:v>0.16790829122210346</c:v>
                </c:pt>
                <c:pt idx="6">
                  <c:v>0.17022445490419541</c:v>
                </c:pt>
                <c:pt idx="7">
                  <c:v>0.16188696202004199</c:v>
                </c:pt>
                <c:pt idx="8">
                  <c:v>0.14594527597874873</c:v>
                </c:pt>
                <c:pt idx="9">
                  <c:v>0.12586985619307547</c:v>
                </c:pt>
                <c:pt idx="10">
                  <c:v>0.10462581626253949</c:v>
                </c:pt>
                <c:pt idx="11">
                  <c:v>8.6364927439447098E-2</c:v>
                </c:pt>
                <c:pt idx="12">
                  <c:v>6.7979177743727678E-2</c:v>
                </c:pt>
                <c:pt idx="13">
                  <c:v>5.2122786718246585E-2</c:v>
                </c:pt>
                <c:pt idx="14">
                  <c:v>3.8982270715768173E-2</c:v>
                </c:pt>
                <c:pt idx="15">
                  <c:v>2.8462967001002315E-2</c:v>
                </c:pt>
                <c:pt idx="16">
                  <c:v>2.0301839626725569E-2</c:v>
                </c:pt>
                <c:pt idx="17">
                  <c:v>1.4152318055964435E-2</c:v>
                </c:pt>
                <c:pt idx="18">
                  <c:v>9.6449963860495824E-3</c:v>
                </c:pt>
                <c:pt idx="19">
                  <c:v>6.4278701131493957E-3</c:v>
                </c:pt>
                <c:pt idx="20">
                  <c:v>4.7135340812280201E-3</c:v>
                </c:pt>
                <c:pt idx="21">
                  <c:v>2.9303650093689096E-3</c:v>
                </c:pt>
                <c:pt idx="22">
                  <c:v>1.7722947738704456E-3</c:v>
                </c:pt>
                <c:pt idx="23">
                  <c:v>1.0425154852419097E-3</c:v>
                </c:pt>
                <c:pt idx="24">
                  <c:v>5.9629458025289546E-4</c:v>
                </c:pt>
                <c:pt idx="25">
                  <c:v>3.315715250880289E-4</c:v>
                </c:pt>
                <c:pt idx="26">
                  <c:v>1.79202736020493E-4</c:v>
                </c:pt>
                <c:pt idx="27">
                  <c:v>9.4120173333793662E-5</c:v>
                </c:pt>
                <c:pt idx="28">
                  <c:v>4.8030529168570249E-5</c:v>
                </c:pt>
                <c:pt idx="29">
                  <c:v>2.3811149479118641E-5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97-ED43-9640-2D8CB8FC3982}"/>
            </c:ext>
          </c:extLst>
        </c:ser>
        <c:ser>
          <c:idx val="4"/>
          <c:order val="4"/>
          <c:tx>
            <c:strRef>
              <c:f>'2DCLSAD-HUNT'!$F$68</c:f>
              <c:strCache>
                <c:ptCount val="1"/>
                <c:pt idx="0">
                  <c:v>-0.2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'2DCLSAD-HUNT'!$F$69:$F$98</c:f>
              <c:numCache>
                <c:formatCode>General</c:formatCode>
                <c:ptCount val="30"/>
                <c:pt idx="0">
                  <c:v>0.10607508963593892</c:v>
                </c:pt>
                <c:pt idx="1">
                  <c:v>0.16456511124579243</c:v>
                </c:pt>
                <c:pt idx="2">
                  <c:v>0.24515217600961542</c:v>
                </c:pt>
                <c:pt idx="3">
                  <c:v>0.33988366961912425</c:v>
                </c:pt>
                <c:pt idx="4">
                  <c:v>0.41632907440389738</c:v>
                </c:pt>
                <c:pt idx="5">
                  <c:v>0.4364713312329595</c:v>
                </c:pt>
                <c:pt idx="6">
                  <c:v>0.40426680293783102</c:v>
                </c:pt>
                <c:pt idx="7">
                  <c:v>0.34846717400368971</c:v>
                </c:pt>
                <c:pt idx="8">
                  <c:v>0.28841791836698949</c:v>
                </c:pt>
                <c:pt idx="9">
                  <c:v>0.23223831717282548</c:v>
                </c:pt>
                <c:pt idx="10">
                  <c:v>0.18275655641878485</c:v>
                </c:pt>
                <c:pt idx="11">
                  <c:v>0.14078499270551031</c:v>
                </c:pt>
                <c:pt idx="12">
                  <c:v>0.10883471711530616</c:v>
                </c:pt>
                <c:pt idx="13">
                  <c:v>8.1155464371060096E-2</c:v>
                </c:pt>
                <c:pt idx="14">
                  <c:v>5.9329215378991731E-2</c:v>
                </c:pt>
                <c:pt idx="15">
                  <c:v>4.2508840294753512E-2</c:v>
                </c:pt>
                <c:pt idx="16">
                  <c:v>2.9842332190660861E-2</c:v>
                </c:pt>
                <c:pt idx="17">
                  <c:v>2.052300642346511E-2</c:v>
                </c:pt>
                <c:pt idx="18">
                  <c:v>1.3824236650532947E-2</c:v>
                </c:pt>
                <c:pt idx="19">
                  <c:v>9.1198595048425195E-3</c:v>
                </c:pt>
                <c:pt idx="20">
                  <c:v>6.7139505925729731E-3</c:v>
                </c:pt>
                <c:pt idx="21">
                  <c:v>4.1508376084226778E-3</c:v>
                </c:pt>
                <c:pt idx="22">
                  <c:v>2.4984856537976761E-3</c:v>
                </c:pt>
                <c:pt idx="23">
                  <c:v>1.4636388936262832E-3</c:v>
                </c:pt>
                <c:pt idx="24">
                  <c:v>8.3417713831768301E-4</c:v>
                </c:pt>
                <c:pt idx="25">
                  <c:v>4.6239969911025087E-4</c:v>
                </c:pt>
                <c:pt idx="26">
                  <c:v>2.4922615028811124E-4</c:v>
                </c:pt>
                <c:pt idx="27">
                  <c:v>1.3058123673670736E-4</c:v>
                </c:pt>
                <c:pt idx="28">
                  <c:v>6.6494264291480862E-5</c:v>
                </c:pt>
                <c:pt idx="29">
                  <c:v>3.2901709955755293E-5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97-ED43-9640-2D8CB8FC3982}"/>
            </c:ext>
          </c:extLst>
        </c:ser>
        <c:ser>
          <c:idx val="5"/>
          <c:order val="5"/>
          <c:tx>
            <c:strRef>
              <c:f>'2DCLSAD-HUNT'!$G$68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'2DCLSAD-HUNT'!$G$69:$G$98</c:f>
              <c:numCache>
                <c:formatCode>General</c:formatCode>
                <c:ptCount val="30"/>
                <c:pt idx="0">
                  <c:v>0.14101227233467192</c:v>
                </c:pt>
                <c:pt idx="1">
                  <c:v>0.23652449485781196</c:v>
                </c:pt>
                <c:pt idx="2">
                  <c:v>0.40567527732880809</c:v>
                </c:pt>
                <c:pt idx="3">
                  <c:v>0.75029693712353707</c:v>
                </c:pt>
                <c:pt idx="4">
                  <c:v>4.7796629956557064</c:v>
                </c:pt>
                <c:pt idx="5">
                  <c:v>0.96384327427293226</c:v>
                </c:pt>
                <c:pt idx="6">
                  <c:v>0.6690795638540592</c:v>
                </c:pt>
                <c:pt idx="7">
                  <c:v>0.50088215275433468</c:v>
                </c:pt>
                <c:pt idx="8">
                  <c:v>0.38343024328890168</c:v>
                </c:pt>
                <c:pt idx="9">
                  <c:v>0.29448091792412529</c:v>
                </c:pt>
                <c:pt idx="10">
                  <c:v>0.22471810732590491</c:v>
                </c:pt>
                <c:pt idx="11">
                  <c:v>0.16942223007785229</c:v>
                </c:pt>
                <c:pt idx="12">
                  <c:v>0.12593156485847823</c:v>
                </c:pt>
                <c:pt idx="13">
                  <c:v>9.4679071368062584E-2</c:v>
                </c:pt>
                <c:pt idx="14">
                  <c:v>6.8570669221941188E-2</c:v>
                </c:pt>
                <c:pt idx="15">
                  <c:v>4.8763779434956307E-2</c:v>
                </c:pt>
                <c:pt idx="16">
                  <c:v>3.4024482137157461E-2</c:v>
                </c:pt>
                <c:pt idx="17">
                  <c:v>2.3279976033479359E-2</c:v>
                </c:pt>
                <c:pt idx="18">
                  <c:v>1.5613626442194791E-2</c:v>
                </c:pt>
                <c:pt idx="19">
                  <c:v>1.0262121420316296E-2</c:v>
                </c:pt>
                <c:pt idx="20">
                  <c:v>6.6083545397278331E-3</c:v>
                </c:pt>
                <c:pt idx="21">
                  <c:v>4.6647710043950961E-3</c:v>
                </c:pt>
                <c:pt idx="22">
                  <c:v>2.8030143372003691E-3</c:v>
                </c:pt>
                <c:pt idx="23">
                  <c:v>1.6396198563146832E-3</c:v>
                </c:pt>
                <c:pt idx="24">
                  <c:v>9.3328860712920227E-4</c:v>
                </c:pt>
                <c:pt idx="25">
                  <c:v>5.1676875656329825E-4</c:v>
                </c:pt>
                <c:pt idx="26">
                  <c:v>2.782619934236699E-4</c:v>
                </c:pt>
                <c:pt idx="27">
                  <c:v>1.4567114630746196E-4</c:v>
                </c:pt>
                <c:pt idx="28">
                  <c:v>7.412291717888844E-5</c:v>
                </c:pt>
                <c:pt idx="29">
                  <c:v>3.6652114692857358E-5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97-ED43-9640-2D8CB8FC3982}"/>
            </c:ext>
          </c:extLst>
        </c:ser>
        <c:ser>
          <c:idx val="6"/>
          <c:order val="6"/>
          <c:tx>
            <c:strRef>
              <c:f>'2DCLSAD-HUNT'!$H$68</c:f>
              <c:strCache>
                <c:ptCount val="1"/>
                <c:pt idx="0">
                  <c:v>0.2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'2DCLSAD-HUNT'!$H$69:$H$98</c:f>
              <c:numCache>
                <c:formatCode>General</c:formatCode>
                <c:ptCount val="30"/>
                <c:pt idx="0">
                  <c:v>0.10607508963593894</c:v>
                </c:pt>
                <c:pt idx="1">
                  <c:v>0.16456511124579243</c:v>
                </c:pt>
                <c:pt idx="2">
                  <c:v>0.24515217600961547</c:v>
                </c:pt>
                <c:pt idx="3">
                  <c:v>0.33988366961912414</c:v>
                </c:pt>
                <c:pt idx="4">
                  <c:v>0.41632907440389738</c:v>
                </c:pt>
                <c:pt idx="5">
                  <c:v>0.43647133123295984</c:v>
                </c:pt>
                <c:pt idx="6">
                  <c:v>0.40426680293783113</c:v>
                </c:pt>
                <c:pt idx="7">
                  <c:v>0.34846717400368998</c:v>
                </c:pt>
                <c:pt idx="8">
                  <c:v>0.28841791836698955</c:v>
                </c:pt>
                <c:pt idx="9">
                  <c:v>0.23223831717282553</c:v>
                </c:pt>
                <c:pt idx="10">
                  <c:v>0.18275655641878499</c:v>
                </c:pt>
                <c:pt idx="11">
                  <c:v>0.14078499270551031</c:v>
                </c:pt>
                <c:pt idx="12">
                  <c:v>0.10883471711530616</c:v>
                </c:pt>
                <c:pt idx="13">
                  <c:v>8.1155464371060096E-2</c:v>
                </c:pt>
                <c:pt idx="14">
                  <c:v>5.9329215378991731E-2</c:v>
                </c:pt>
                <c:pt idx="15">
                  <c:v>4.2508840294753512E-2</c:v>
                </c:pt>
                <c:pt idx="16">
                  <c:v>2.9842332190660861E-2</c:v>
                </c:pt>
                <c:pt idx="17">
                  <c:v>2.052300642346511E-2</c:v>
                </c:pt>
                <c:pt idx="18">
                  <c:v>1.3824236650532947E-2</c:v>
                </c:pt>
                <c:pt idx="19">
                  <c:v>9.1198595048425195E-3</c:v>
                </c:pt>
                <c:pt idx="20">
                  <c:v>6.7139505925729731E-3</c:v>
                </c:pt>
                <c:pt idx="21">
                  <c:v>4.1508376084226778E-3</c:v>
                </c:pt>
                <c:pt idx="22">
                  <c:v>2.4984856537976761E-3</c:v>
                </c:pt>
                <c:pt idx="23">
                  <c:v>1.4636388936262832E-3</c:v>
                </c:pt>
                <c:pt idx="24">
                  <c:v>8.3417713831768301E-4</c:v>
                </c:pt>
                <c:pt idx="25">
                  <c:v>4.6239969911025087E-4</c:v>
                </c:pt>
                <c:pt idx="26">
                  <c:v>2.4922615028811124E-4</c:v>
                </c:pt>
                <c:pt idx="27">
                  <c:v>1.3058123673670736E-4</c:v>
                </c:pt>
                <c:pt idx="28">
                  <c:v>6.6494264291480862E-5</c:v>
                </c:pt>
                <c:pt idx="29">
                  <c:v>3.2901709955755293E-5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97-ED43-9640-2D8CB8FC3982}"/>
            </c:ext>
          </c:extLst>
        </c:ser>
        <c:ser>
          <c:idx val="7"/>
          <c:order val="7"/>
          <c:tx>
            <c:strRef>
              <c:f>'2DCLSAD-HUNT'!$I$68</c:f>
              <c:strCache>
                <c:ptCount val="1"/>
                <c:pt idx="0">
                  <c:v>0.4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'2DCLSAD-HUNT'!$I$69:$I$98</c:f>
              <c:numCache>
                <c:formatCode>General</c:formatCode>
                <c:ptCount val="30"/>
                <c:pt idx="0">
                  <c:v>5.3679435292550919E-2</c:v>
                </c:pt>
                <c:pt idx="1">
                  <c:v>7.6457528721557991E-2</c:v>
                </c:pt>
                <c:pt idx="2">
                  <c:v>0.10323437148469021</c:v>
                </c:pt>
                <c:pt idx="3">
                  <c:v>0.13075915573296795</c:v>
                </c:pt>
                <c:pt idx="4">
                  <c:v>0.15396534643191523</c:v>
                </c:pt>
                <c:pt idx="5">
                  <c:v>0.16790829122210346</c:v>
                </c:pt>
                <c:pt idx="6">
                  <c:v>0.1702244549041951</c:v>
                </c:pt>
                <c:pt idx="7">
                  <c:v>0.16188696202004199</c:v>
                </c:pt>
                <c:pt idx="8">
                  <c:v>0.14594527597874873</c:v>
                </c:pt>
                <c:pt idx="9">
                  <c:v>0.12586985619307553</c:v>
                </c:pt>
                <c:pt idx="10">
                  <c:v>0.10462581626253961</c:v>
                </c:pt>
                <c:pt idx="11">
                  <c:v>8.6364927439447098E-2</c:v>
                </c:pt>
                <c:pt idx="12">
                  <c:v>6.7979177743727678E-2</c:v>
                </c:pt>
                <c:pt idx="13">
                  <c:v>5.2122786718246585E-2</c:v>
                </c:pt>
                <c:pt idx="14">
                  <c:v>3.8982270715768173E-2</c:v>
                </c:pt>
                <c:pt idx="15">
                  <c:v>2.8462967001002315E-2</c:v>
                </c:pt>
                <c:pt idx="16">
                  <c:v>2.030183962672559E-2</c:v>
                </c:pt>
                <c:pt idx="17">
                  <c:v>1.4152318055964435E-2</c:v>
                </c:pt>
                <c:pt idx="18">
                  <c:v>9.6449963860495893E-3</c:v>
                </c:pt>
                <c:pt idx="19">
                  <c:v>6.4278701131493957E-3</c:v>
                </c:pt>
                <c:pt idx="20">
                  <c:v>4.7135340812280201E-3</c:v>
                </c:pt>
                <c:pt idx="21">
                  <c:v>2.9303650093689096E-3</c:v>
                </c:pt>
                <c:pt idx="22">
                  <c:v>1.7722947738704456E-3</c:v>
                </c:pt>
                <c:pt idx="23">
                  <c:v>1.0425154852419097E-3</c:v>
                </c:pt>
                <c:pt idx="24">
                  <c:v>5.9629458025289546E-4</c:v>
                </c:pt>
                <c:pt idx="25">
                  <c:v>3.315715250880289E-4</c:v>
                </c:pt>
                <c:pt idx="26">
                  <c:v>1.79202736020493E-4</c:v>
                </c:pt>
                <c:pt idx="27">
                  <c:v>9.4120173333793662E-5</c:v>
                </c:pt>
                <c:pt idx="28">
                  <c:v>4.8030529168570249E-5</c:v>
                </c:pt>
                <c:pt idx="29">
                  <c:v>2.3811149479118641E-5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97-ED43-9640-2D8CB8FC3982}"/>
            </c:ext>
          </c:extLst>
        </c:ser>
        <c:ser>
          <c:idx val="8"/>
          <c:order val="8"/>
          <c:tx>
            <c:strRef>
              <c:f>'2DCLSAD-HUNT'!$J$68</c:f>
              <c:strCache>
                <c:ptCount val="1"/>
                <c:pt idx="0">
                  <c:v>0.6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'2DCLSAD-HUNT'!$J$69:$J$98</c:f>
              <c:numCache>
                <c:formatCode>General</c:formatCode>
                <c:ptCount val="30"/>
                <c:pt idx="0">
                  <c:v>2.2386680183613724E-2</c:v>
                </c:pt>
                <c:pt idx="1">
                  <c:v>3.0343642648279042E-2</c:v>
                </c:pt>
                <c:pt idx="2">
                  <c:v>3.8482996758147252E-2</c:v>
                </c:pt>
                <c:pt idx="3">
                  <c:v>4.7347156038178913E-2</c:v>
                </c:pt>
                <c:pt idx="4">
                  <c:v>5.5163900823176751E-2</c:v>
                </c:pt>
                <c:pt idx="5">
                  <c:v>6.0797645202802952E-2</c:v>
                </c:pt>
                <c:pt idx="6">
                  <c:v>6.3453250042312115E-2</c:v>
                </c:pt>
                <c:pt idx="7">
                  <c:v>6.4245520036616155E-2</c:v>
                </c:pt>
                <c:pt idx="8">
                  <c:v>6.0863106404288179E-2</c:v>
                </c:pt>
                <c:pt idx="9">
                  <c:v>5.5231264834640206E-2</c:v>
                </c:pt>
                <c:pt idx="10">
                  <c:v>4.8200157900845579E-2</c:v>
                </c:pt>
                <c:pt idx="11">
                  <c:v>4.0591812124996476E-2</c:v>
                </c:pt>
                <c:pt idx="12">
                  <c:v>3.3081765296513931E-2</c:v>
                </c:pt>
                <c:pt idx="13">
                  <c:v>2.6150877955112183E-2</c:v>
                </c:pt>
                <c:pt idx="14">
                  <c:v>2.0086717933478913E-2</c:v>
                </c:pt>
                <c:pt idx="15">
                  <c:v>1.5012986648752738E-2</c:v>
                </c:pt>
                <c:pt idx="16">
                  <c:v>1.0930515032910548E-2</c:v>
                </c:pt>
                <c:pt idx="17">
                  <c:v>7.75904627585371E-3</c:v>
                </c:pt>
                <c:pt idx="18">
                  <c:v>5.373640919954804E-3</c:v>
                </c:pt>
                <c:pt idx="19">
                  <c:v>4.0840753946148785E-3</c:v>
                </c:pt>
                <c:pt idx="20">
                  <c:v>2.633138969896968E-3</c:v>
                </c:pt>
                <c:pt idx="21">
                  <c:v>1.6499830333551329E-3</c:v>
                </c:pt>
                <c:pt idx="22">
                  <c:v>1.0048054823257912E-3</c:v>
                </c:pt>
                <c:pt idx="23">
                  <c:v>5.9462480680759521E-4</c:v>
                </c:pt>
                <c:pt idx="24">
                  <c:v>3.4191535797146202E-4</c:v>
                </c:pt>
                <c:pt idx="25">
                  <c:v>1.9101251908742778E-4</c:v>
                </c:pt>
                <c:pt idx="26">
                  <c:v>1.0366321143804725E-4</c:v>
                </c:pt>
                <c:pt idx="27">
                  <c:v>5.4646104044736305E-5</c:v>
                </c:pt>
                <c:pt idx="28">
                  <c:v>2.7978123423960229E-5</c:v>
                </c:pt>
                <c:pt idx="29">
                  <c:v>1.3910971083399191E-5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97-ED43-9640-2D8CB8FC3982}"/>
            </c:ext>
          </c:extLst>
        </c:ser>
        <c:ser>
          <c:idx val="9"/>
          <c:order val="9"/>
          <c:tx>
            <c:strRef>
              <c:f>'2DCLSAD-HUNT'!$K$68</c:f>
              <c:strCache>
                <c:ptCount val="1"/>
                <c:pt idx="0">
                  <c:v>0.8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'2DCLSAD-HUNT'!$K$69:$K$98</c:f>
              <c:numCache>
                <c:formatCode>General</c:formatCode>
                <c:ptCount val="30"/>
                <c:pt idx="0">
                  <c:v>7.9095405235118758E-3</c:v>
                </c:pt>
                <c:pt idx="1">
                  <c:v>1.0449462693475173E-2</c:v>
                </c:pt>
                <c:pt idx="2">
                  <c:v>1.323528907005884E-2</c:v>
                </c:pt>
                <c:pt idx="3">
                  <c:v>1.6045516946458328E-2</c:v>
                </c:pt>
                <c:pt idx="4">
                  <c:v>1.8598558345379088E-2</c:v>
                </c:pt>
                <c:pt idx="5">
                  <c:v>2.0603596725688317E-2</c:v>
                </c:pt>
                <c:pt idx="6">
                  <c:v>2.1822867815962665E-2</c:v>
                </c:pt>
                <c:pt idx="7">
                  <c:v>2.2123861284043918E-2</c:v>
                </c:pt>
                <c:pt idx="8">
                  <c:v>2.1503351447132002E-2</c:v>
                </c:pt>
                <c:pt idx="9">
                  <c:v>2.007770166724767E-2</c:v>
                </c:pt>
                <c:pt idx="10">
                  <c:v>1.804732319552696E-2</c:v>
                </c:pt>
                <c:pt idx="11">
                  <c:v>1.5650236804033761E-2</c:v>
                </c:pt>
                <c:pt idx="12">
                  <c:v>1.3118927842975097E-2</c:v>
                </c:pt>
                <c:pt idx="13">
                  <c:v>1.0649282029567643E-2</c:v>
                </c:pt>
                <c:pt idx="14">
                  <c:v>8.384314987895599E-3</c:v>
                </c:pt>
                <c:pt idx="15">
                  <c:v>6.4110174923785969E-3</c:v>
                </c:pt>
                <c:pt idx="16">
                  <c:v>4.7664754954719075E-3</c:v>
                </c:pt>
                <c:pt idx="17">
                  <c:v>3.9074039110964884E-3</c:v>
                </c:pt>
                <c:pt idx="18">
                  <c:v>2.701126252291347E-3</c:v>
                </c:pt>
                <c:pt idx="19">
                  <c:v>1.812156886223996E-3</c:v>
                </c:pt>
                <c:pt idx="20">
                  <c:v>1.1801165131142335E-3</c:v>
                </c:pt>
                <c:pt idx="21">
                  <c:v>7.4608285905219853E-4</c:v>
                </c:pt>
                <c:pt idx="22">
                  <c:v>4.5794686539199524E-4</c:v>
                </c:pt>
                <c:pt idx="23">
                  <c:v>2.7291351048606532E-4</c:v>
                </c:pt>
                <c:pt idx="24">
                  <c:v>1.5791395039137715E-4</c:v>
                </c:pt>
                <c:pt idx="25">
                  <c:v>8.871476583293089E-5</c:v>
                </c:pt>
                <c:pt idx="26">
                  <c:v>4.8388156892972123E-5</c:v>
                </c:pt>
                <c:pt idx="27">
                  <c:v>2.5623186240581596E-5</c:v>
                </c:pt>
                <c:pt idx="28">
                  <c:v>1.3172190351396975E-5</c:v>
                </c:pt>
                <c:pt idx="29">
                  <c:v>6.5734221927984375E-6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97-ED43-9640-2D8CB8FC3982}"/>
            </c:ext>
          </c:extLst>
        </c:ser>
        <c:ser>
          <c:idx val="10"/>
          <c:order val="10"/>
          <c:tx>
            <c:strRef>
              <c:f>'2DCLSAD-HUNT'!$L$68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'2DCLSAD-HUNT'!$A$69:$A$98</c:f>
              <c:numCache>
                <c:formatCode>0.00</c:formatCode>
                <c:ptCount val="30"/>
                <c:pt idx="0">
                  <c:v>-1.0001</c:v>
                </c:pt>
                <c:pt idx="1">
                  <c:v>-0.75009999999999999</c:v>
                </c:pt>
                <c:pt idx="2">
                  <c:v>-0.50009999999999999</c:v>
                </c:pt>
                <c:pt idx="3">
                  <c:v>-0.25009999999999999</c:v>
                </c:pt>
                <c:pt idx="4">
                  <c:v>-9.9999999999988987E-5</c:v>
                </c:pt>
                <c:pt idx="5">
                  <c:v>0.24990000000000001</c:v>
                </c:pt>
                <c:pt idx="6">
                  <c:v>0.49990000000000001</c:v>
                </c:pt>
                <c:pt idx="7">
                  <c:v>0.74990000000000001</c:v>
                </c:pt>
                <c:pt idx="8">
                  <c:v>0.99990000000000001</c:v>
                </c:pt>
                <c:pt idx="9">
                  <c:v>1.2499</c:v>
                </c:pt>
                <c:pt idx="10">
                  <c:v>1.4999</c:v>
                </c:pt>
                <c:pt idx="11">
                  <c:v>1.7499</c:v>
                </c:pt>
                <c:pt idx="12">
                  <c:v>1.9999</c:v>
                </c:pt>
                <c:pt idx="13">
                  <c:v>2.2499000000000002</c:v>
                </c:pt>
                <c:pt idx="14">
                  <c:v>2.4999000000000002</c:v>
                </c:pt>
                <c:pt idx="15">
                  <c:v>2.7499000000000002</c:v>
                </c:pt>
                <c:pt idx="16">
                  <c:v>2.9999000000000002</c:v>
                </c:pt>
                <c:pt idx="17">
                  <c:v>3.2499000000000002</c:v>
                </c:pt>
                <c:pt idx="18">
                  <c:v>3.4999000000000002</c:v>
                </c:pt>
                <c:pt idx="19">
                  <c:v>3.7499000000000002</c:v>
                </c:pt>
                <c:pt idx="20">
                  <c:v>3.9999000000000002</c:v>
                </c:pt>
                <c:pt idx="21">
                  <c:v>4.2499000000000002</c:v>
                </c:pt>
                <c:pt idx="22">
                  <c:v>4.4999000000000002</c:v>
                </c:pt>
                <c:pt idx="23">
                  <c:v>4.7499000000000002</c:v>
                </c:pt>
                <c:pt idx="24">
                  <c:v>4.9999000000000002</c:v>
                </c:pt>
                <c:pt idx="25">
                  <c:v>5.2499000000000002</c:v>
                </c:pt>
                <c:pt idx="26">
                  <c:v>5.4999000000000002</c:v>
                </c:pt>
                <c:pt idx="27">
                  <c:v>5.7499000000000002</c:v>
                </c:pt>
                <c:pt idx="28">
                  <c:v>5.9999000000000002</c:v>
                </c:pt>
                <c:pt idx="29">
                  <c:v>6.2499000000000002</c:v>
                </c:pt>
              </c:numCache>
            </c:numRef>
          </c:cat>
          <c:val>
            <c:numRef>
              <c:f>'2DCLSAD-HUNT'!$L$69:$L$98</c:f>
              <c:numCache>
                <c:formatCode>General</c:formatCode>
                <c:ptCount val="30"/>
                <c:pt idx="0">
                  <c:v>2.4218255185598225E-3</c:v>
                </c:pt>
                <c:pt idx="1">
                  <c:v>3.1498043425257668E-3</c:v>
                </c:pt>
                <c:pt idx="2">
                  <c:v>3.9418561216170971E-3</c:v>
                </c:pt>
                <c:pt idx="3">
                  <c:v>4.7427060095107804E-3</c:v>
                </c:pt>
                <c:pt idx="4">
                  <c:v>5.4830759559554099E-3</c:v>
                </c:pt>
                <c:pt idx="5">
                  <c:v>6.0899501949772759E-3</c:v>
                </c:pt>
                <c:pt idx="6">
                  <c:v>6.4994366118199297E-3</c:v>
                </c:pt>
                <c:pt idx="7">
                  <c:v>6.6687691512144244E-3</c:v>
                </c:pt>
                <c:pt idx="8">
                  <c:v>6.5840296868660414E-3</c:v>
                </c:pt>
                <c:pt idx="9">
                  <c:v>6.2615727303888509E-3</c:v>
                </c:pt>
                <c:pt idx="10">
                  <c:v>5.743230413789868E-3</c:v>
                </c:pt>
                <c:pt idx="11">
                  <c:v>5.087193724077922E-3</c:v>
                </c:pt>
                <c:pt idx="12">
                  <c:v>4.3573383849544924E-3</c:v>
                </c:pt>
                <c:pt idx="13">
                  <c:v>3.6135870261085868E-3</c:v>
                </c:pt>
                <c:pt idx="14">
                  <c:v>3.3154000050871391E-3</c:v>
                </c:pt>
                <c:pt idx="15">
                  <c:v>2.5506947418129007E-3</c:v>
                </c:pt>
                <c:pt idx="16">
                  <c:v>1.9001271215195704E-3</c:v>
                </c:pt>
                <c:pt idx="17">
                  <c:v>1.3712839948478682E-3</c:v>
                </c:pt>
                <c:pt idx="18">
                  <c:v>9.5911682209374322E-4</c:v>
                </c:pt>
                <c:pt idx="19">
                  <c:v>6.5036681484074738E-4</c:v>
                </c:pt>
                <c:pt idx="20">
                  <c:v>4.2766239505415116E-4</c:v>
                </c:pt>
                <c:pt idx="21">
                  <c:v>2.7276401760091817E-4</c:v>
                </c:pt>
                <c:pt idx="22">
                  <c:v>1.687651254755434E-4</c:v>
                </c:pt>
                <c:pt idx="23">
                  <c:v>1.0130639363374625E-4</c:v>
                </c:pt>
                <c:pt idx="24">
                  <c:v>5.9004391461890857E-5</c:v>
                </c:pt>
                <c:pt idx="25">
                  <c:v>3.3346375088622355E-5</c:v>
                </c:pt>
                <c:pt idx="26">
                  <c:v>1.8287073081273996E-5</c:v>
                </c:pt>
                <c:pt idx="27">
                  <c:v>9.7314683833744073E-6</c:v>
                </c:pt>
                <c:pt idx="28">
                  <c:v>5.0251948973337202E-6</c:v>
                </c:pt>
                <c:pt idx="29">
                  <c:v>2.5180551215537209E-6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97-ED43-9640-2D8CB8FC3982}"/>
            </c:ext>
          </c:extLst>
        </c:ser>
        <c:bandFmts/>
        <c:axId val="-2070054056"/>
        <c:axId val="-2070048648"/>
        <c:axId val="-2070645512"/>
      </c:surface3DChart>
      <c:catAx>
        <c:axId val="-2070054056"/>
        <c:scaling>
          <c:orientation val="minMax"/>
        </c:scaling>
        <c:delete val="0"/>
        <c:axPos val="b"/>
        <c:title>
          <c:tx>
            <c:rich>
              <a:bodyPr rot="1200000"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-2070048648"/>
        <c:crosses val="autoZero"/>
        <c:auto val="1"/>
        <c:lblAlgn val="ctr"/>
        <c:lblOffset val="100"/>
        <c:noMultiLvlLbl val="0"/>
      </c:catAx>
      <c:valAx>
        <c:axId val="-2070048648"/>
        <c:scaling>
          <c:orientation val="minMax"/>
          <c:max val="5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Concentration (mg/L)</a:t>
                </a:r>
                <a:r>
                  <a:rPr lang="en-US" baseline="0"/>
                  <a:t> 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one"/>
        <c:crossAx val="-2070054056"/>
        <c:crosses val="autoZero"/>
        <c:crossBetween val="midCat"/>
        <c:majorUnit val="0.1"/>
      </c:valAx>
      <c:serAx>
        <c:axId val="-2070645512"/>
        <c:scaling>
          <c:orientation val="minMax"/>
        </c:scaling>
        <c:delete val="0"/>
        <c:axPos val="b"/>
        <c:title>
          <c:tx>
            <c:rich>
              <a:bodyPr rot="-4500000" vert="horz"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majorTickMark val="out"/>
        <c:minorTickMark val="none"/>
        <c:tickLblPos val="nextTo"/>
        <c:crossAx val="-2070048648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22</xdr:row>
      <xdr:rowOff>6350</xdr:rowOff>
    </xdr:from>
    <xdr:to>
      <xdr:col>12</xdr:col>
      <xdr:colOff>787400</xdr:colOff>
      <xdr:row>45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E4F9CF-8FC3-AA44-B8F8-17FECC1271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863600</xdr:colOff>
      <xdr:row>46</xdr:row>
      <xdr:rowOff>158750</xdr:rowOff>
    </xdr:from>
    <xdr:to>
      <xdr:col>12</xdr:col>
      <xdr:colOff>787400</xdr:colOff>
      <xdr:row>65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F6ED81-C287-804D-B0BC-D062B7CF1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heodore/Desktop/SSANTS2.xlsm" TargetMode="External"/><Relationship Id="rId1" Type="http://schemas.openxmlformats.org/officeDocument/2006/relationships/externalLinkPath" Target="/Users/theodore/Desktop/SSANTS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eveland/Downloads/1D_finite_pulse_advection_dispersio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LECT-MODEL"/>
      <sheetName val="1DFPADR"/>
      <sheetName val="1DEDADR"/>
      <sheetName val="1DIMPAD"/>
      <sheetName val="1DCRAD"/>
      <sheetName val="1DINJAD"/>
      <sheetName val="1DFPAD"/>
      <sheetName val="ProgrammerNotes"/>
      <sheetName val="1DEDAD"/>
      <sheetName val="1DIMPADR"/>
      <sheetName val="1DCRADR"/>
      <sheetName val="2DFWCRAD-YUAN"/>
      <sheetName val="2DFWCRAD-OB"/>
      <sheetName val="2DCLSAD-HUNT"/>
      <sheetName val="1DRFCAT-HYDM"/>
      <sheetName val="1DRFLAH-HYDM"/>
      <sheetName val="Function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3">
          <cell r="D43" t="str">
            <v>(mg/L)</v>
          </cell>
        </row>
        <row r="44">
          <cell r="C44" t="str">
            <v>t-coordinate</v>
          </cell>
          <cell r="D44" t="str">
            <v>C(x.y.t)</v>
          </cell>
        </row>
        <row r="45">
          <cell r="C45">
            <v>1E-4</v>
          </cell>
          <cell r="D45">
            <v>1.4162210646443757E-13</v>
          </cell>
        </row>
        <row r="46">
          <cell r="C46">
            <v>1E-3</v>
          </cell>
          <cell r="D46">
            <v>6.590605396853356E-3</v>
          </cell>
        </row>
        <row r="47">
          <cell r="C47">
            <v>0.01</v>
          </cell>
          <cell r="D47">
            <v>0.27591599337605177</v>
          </cell>
        </row>
        <row r="48">
          <cell r="C48">
            <v>0.1</v>
          </cell>
          <cell r="D48">
            <v>0.82386094591890757</v>
          </cell>
        </row>
        <row r="49">
          <cell r="C49">
            <v>1</v>
          </cell>
          <cell r="D49">
            <v>1.3718059639871558</v>
          </cell>
        </row>
        <row r="50">
          <cell r="C50">
            <v>2</v>
          </cell>
          <cell r="D50">
            <v>1.4997485610085111</v>
          </cell>
        </row>
        <row r="51">
          <cell r="C51">
            <v>4</v>
          </cell>
          <cell r="D51">
            <v>1.5897155912616319</v>
          </cell>
        </row>
        <row r="52">
          <cell r="C52">
            <v>8</v>
          </cell>
          <cell r="D52">
            <v>1.6347961991416073</v>
          </cell>
        </row>
        <row r="53">
          <cell r="C53">
            <v>16</v>
          </cell>
          <cell r="D53">
            <v>1.6467304366873976</v>
          </cell>
        </row>
        <row r="54">
          <cell r="C54">
            <v>32</v>
          </cell>
          <cell r="D54">
            <v>1.6477302020798357</v>
          </cell>
        </row>
        <row r="55">
          <cell r="C55">
            <v>64</v>
          </cell>
          <cell r="D55">
            <v>1.6477302020798357</v>
          </cell>
        </row>
        <row r="56">
          <cell r="C56">
            <v>128</v>
          </cell>
          <cell r="D56">
            <v>1.6477302020798357</v>
          </cell>
        </row>
        <row r="57">
          <cell r="C57">
            <v>256</v>
          </cell>
          <cell r="D57">
            <v>1.6477302020798357</v>
          </cell>
        </row>
        <row r="58">
          <cell r="C58">
            <v>512</v>
          </cell>
          <cell r="D58">
            <v>1.6477302020798357</v>
          </cell>
        </row>
        <row r="59">
          <cell r="C59">
            <v>1024</v>
          </cell>
          <cell r="D59">
            <v>1.6477302020798357</v>
          </cell>
        </row>
        <row r="68">
          <cell r="B68">
            <v>-1</v>
          </cell>
          <cell r="C68">
            <v>-0.8</v>
          </cell>
          <cell r="D68">
            <v>-0.60000000000000009</v>
          </cell>
          <cell r="E68">
            <v>-0.40000000000000008</v>
          </cell>
          <cell r="F68">
            <v>-0.20000000000000007</v>
          </cell>
          <cell r="G68">
            <v>0</v>
          </cell>
          <cell r="H68">
            <v>0.2</v>
          </cell>
          <cell r="I68">
            <v>0.4</v>
          </cell>
          <cell r="J68">
            <v>0.60000000000000009</v>
          </cell>
          <cell r="K68">
            <v>0.8</v>
          </cell>
          <cell r="L68">
            <v>1</v>
          </cell>
        </row>
        <row r="69">
          <cell r="A69">
            <v>-1.0001</v>
          </cell>
          <cell r="B69">
            <v>2.4218255185598225E-3</v>
          </cell>
          <cell r="C69">
            <v>7.9095405235118758E-3</v>
          </cell>
          <cell r="D69">
            <v>2.2386680183613724E-2</v>
          </cell>
          <cell r="E69">
            <v>5.3679435292550849E-2</v>
          </cell>
          <cell r="F69">
            <v>0.10607508963593892</v>
          </cell>
          <cell r="G69">
            <v>0.14101227233467192</v>
          </cell>
          <cell r="H69">
            <v>0.10607508963593894</v>
          </cell>
          <cell r="I69">
            <v>5.3679435292550919E-2</v>
          </cell>
          <cell r="J69">
            <v>2.2386680183613724E-2</v>
          </cell>
          <cell r="K69">
            <v>7.9095405235118758E-3</v>
          </cell>
          <cell r="L69">
            <v>2.4218255185598225E-3</v>
          </cell>
        </row>
        <row r="70">
          <cell r="A70">
            <v>-0.75009999999999999</v>
          </cell>
          <cell r="B70">
            <v>3.1498043425257668E-3</v>
          </cell>
          <cell r="C70">
            <v>1.0449462693475173E-2</v>
          </cell>
          <cell r="D70">
            <v>3.0343642648279042E-2</v>
          </cell>
          <cell r="E70">
            <v>7.6457528721557921E-2</v>
          </cell>
          <cell r="F70">
            <v>0.16456511124579243</v>
          </cell>
          <cell r="G70">
            <v>0.23652449485781196</v>
          </cell>
          <cell r="H70">
            <v>0.16456511124579243</v>
          </cell>
          <cell r="I70">
            <v>7.6457528721557991E-2</v>
          </cell>
          <cell r="J70">
            <v>3.0343642648279042E-2</v>
          </cell>
          <cell r="K70">
            <v>1.0449462693475173E-2</v>
          </cell>
          <cell r="L70">
            <v>3.1498043425257668E-3</v>
          </cell>
        </row>
        <row r="71">
          <cell r="A71">
            <v>-0.50009999999999999</v>
          </cell>
          <cell r="B71">
            <v>3.9418561216170971E-3</v>
          </cell>
          <cell r="C71">
            <v>1.323528907005884E-2</v>
          </cell>
          <cell r="D71">
            <v>3.8482996758147252E-2</v>
          </cell>
          <cell r="E71">
            <v>0.10323437148469015</v>
          </cell>
          <cell r="F71">
            <v>0.24515217600961542</v>
          </cell>
          <cell r="G71">
            <v>0.40567527732880809</v>
          </cell>
          <cell r="H71">
            <v>0.24515217600961547</v>
          </cell>
          <cell r="I71">
            <v>0.10323437148469021</v>
          </cell>
          <cell r="J71">
            <v>3.8482996758147252E-2</v>
          </cell>
          <cell r="K71">
            <v>1.323528907005884E-2</v>
          </cell>
          <cell r="L71">
            <v>3.9418561216170971E-3</v>
          </cell>
        </row>
        <row r="72">
          <cell r="A72">
            <v>-0.25009999999999999</v>
          </cell>
          <cell r="B72">
            <v>4.7427060095107804E-3</v>
          </cell>
          <cell r="C72">
            <v>1.6045516946458328E-2</v>
          </cell>
          <cell r="D72">
            <v>4.7347156038178913E-2</v>
          </cell>
          <cell r="E72">
            <v>0.1307591557329679</v>
          </cell>
          <cell r="F72">
            <v>0.33988366961912425</v>
          </cell>
          <cell r="G72">
            <v>0.75029693712353707</v>
          </cell>
          <cell r="H72">
            <v>0.33988366961912414</v>
          </cell>
          <cell r="I72">
            <v>0.13075915573296795</v>
          </cell>
          <cell r="J72">
            <v>4.7347156038178913E-2</v>
          </cell>
          <cell r="K72">
            <v>1.6045516946458328E-2</v>
          </cell>
          <cell r="L72">
            <v>4.7427060095107804E-3</v>
          </cell>
        </row>
        <row r="73">
          <cell r="A73">
            <v>-9.9999999999988987E-5</v>
          </cell>
          <cell r="B73">
            <v>5.4830759559554099E-3</v>
          </cell>
          <cell r="C73">
            <v>1.8598558345379088E-2</v>
          </cell>
          <cell r="D73">
            <v>5.5163900823176751E-2</v>
          </cell>
          <cell r="E73">
            <v>0.15396534643191517</v>
          </cell>
          <cell r="F73">
            <v>0.41632907440389738</v>
          </cell>
          <cell r="G73">
            <v>4.7796629956557064</v>
          </cell>
          <cell r="H73">
            <v>0.41632907440389738</v>
          </cell>
          <cell r="I73">
            <v>0.15396534643191523</v>
          </cell>
          <cell r="J73">
            <v>5.5163900823176751E-2</v>
          </cell>
          <cell r="K73">
            <v>1.8598558345379088E-2</v>
          </cell>
          <cell r="L73">
            <v>5.4830759559554099E-3</v>
          </cell>
        </row>
        <row r="74">
          <cell r="A74">
            <v>0.24990000000000001</v>
          </cell>
          <cell r="B74">
            <v>6.0899501949772759E-3</v>
          </cell>
          <cell r="C74">
            <v>2.0603596725688317E-2</v>
          </cell>
          <cell r="D74">
            <v>6.0797645202802952E-2</v>
          </cell>
          <cell r="E74">
            <v>0.16790829122210346</v>
          </cell>
          <cell r="F74">
            <v>0.4364713312329595</v>
          </cell>
          <cell r="G74">
            <v>0.96384327427293226</v>
          </cell>
          <cell r="H74">
            <v>0.43647133123295984</v>
          </cell>
          <cell r="I74">
            <v>0.16790829122210346</v>
          </cell>
          <cell r="J74">
            <v>6.0797645202802952E-2</v>
          </cell>
          <cell r="K74">
            <v>2.0603596725688317E-2</v>
          </cell>
          <cell r="L74">
            <v>6.0899501949772759E-3</v>
          </cell>
        </row>
        <row r="75">
          <cell r="A75">
            <v>0.49990000000000001</v>
          </cell>
          <cell r="B75">
            <v>6.4994366118199297E-3</v>
          </cell>
          <cell r="C75">
            <v>2.1822867815962665E-2</v>
          </cell>
          <cell r="D75">
            <v>6.3453250042312115E-2</v>
          </cell>
          <cell r="E75">
            <v>0.17022445490419541</v>
          </cell>
          <cell r="F75">
            <v>0.40426680293783102</v>
          </cell>
          <cell r="G75">
            <v>0.6690795638540592</v>
          </cell>
          <cell r="H75">
            <v>0.40426680293783113</v>
          </cell>
          <cell r="I75">
            <v>0.1702244549041951</v>
          </cell>
          <cell r="J75">
            <v>6.3453250042312115E-2</v>
          </cell>
          <cell r="K75">
            <v>2.1822867815962665E-2</v>
          </cell>
          <cell r="L75">
            <v>6.4994366118199297E-3</v>
          </cell>
        </row>
        <row r="76">
          <cell r="A76">
            <v>0.74990000000000001</v>
          </cell>
          <cell r="B76">
            <v>6.6687691512144244E-3</v>
          </cell>
          <cell r="C76">
            <v>2.2123861284043918E-2</v>
          </cell>
          <cell r="D76">
            <v>6.4245520036616155E-2</v>
          </cell>
          <cell r="E76">
            <v>0.16188696202004199</v>
          </cell>
          <cell r="F76">
            <v>0.34846717400368971</v>
          </cell>
          <cell r="G76">
            <v>0.50088215275433468</v>
          </cell>
          <cell r="H76">
            <v>0.34846717400368998</v>
          </cell>
          <cell r="I76">
            <v>0.16188696202004199</v>
          </cell>
          <cell r="J76">
            <v>6.4245520036616155E-2</v>
          </cell>
          <cell r="K76">
            <v>2.2123861284043918E-2</v>
          </cell>
          <cell r="L76">
            <v>6.6687691512144244E-3</v>
          </cell>
        </row>
        <row r="77">
          <cell r="A77">
            <v>0.99990000000000001</v>
          </cell>
          <cell r="B77">
            <v>6.5840296868660414E-3</v>
          </cell>
          <cell r="C77">
            <v>2.1503351447132002E-2</v>
          </cell>
          <cell r="D77">
            <v>6.0863106404288179E-2</v>
          </cell>
          <cell r="E77">
            <v>0.14594527597874873</v>
          </cell>
          <cell r="F77">
            <v>0.28841791836698949</v>
          </cell>
          <cell r="G77">
            <v>0.38343024328890168</v>
          </cell>
          <cell r="H77">
            <v>0.28841791836698955</v>
          </cell>
          <cell r="I77">
            <v>0.14594527597874873</v>
          </cell>
          <cell r="J77">
            <v>6.0863106404288179E-2</v>
          </cell>
          <cell r="K77">
            <v>2.1503351447132002E-2</v>
          </cell>
          <cell r="L77">
            <v>6.5840296868660414E-3</v>
          </cell>
        </row>
        <row r="78">
          <cell r="A78">
            <v>1.2499</v>
          </cell>
          <cell r="B78">
            <v>6.2615727303888509E-3</v>
          </cell>
          <cell r="C78">
            <v>2.007770166724767E-2</v>
          </cell>
          <cell r="D78">
            <v>5.5231264834640206E-2</v>
          </cell>
          <cell r="E78">
            <v>0.12586985619307547</v>
          </cell>
          <cell r="F78">
            <v>0.23223831717282548</v>
          </cell>
          <cell r="G78">
            <v>0.29448091792412529</v>
          </cell>
          <cell r="H78">
            <v>0.23223831717282553</v>
          </cell>
          <cell r="I78">
            <v>0.12586985619307553</v>
          </cell>
          <cell r="J78">
            <v>5.5231264834640206E-2</v>
          </cell>
          <cell r="K78">
            <v>2.007770166724767E-2</v>
          </cell>
          <cell r="L78">
            <v>6.2615727303888509E-3</v>
          </cell>
        </row>
        <row r="79">
          <cell r="A79">
            <v>1.4999</v>
          </cell>
          <cell r="B79">
            <v>5.743230413789868E-3</v>
          </cell>
          <cell r="C79">
            <v>1.804732319552696E-2</v>
          </cell>
          <cell r="D79">
            <v>4.8200157900845579E-2</v>
          </cell>
          <cell r="E79">
            <v>0.10462581626253949</v>
          </cell>
          <cell r="F79">
            <v>0.18275655641878485</v>
          </cell>
          <cell r="G79">
            <v>0.22471810732590491</v>
          </cell>
          <cell r="H79">
            <v>0.18275655641878499</v>
          </cell>
          <cell r="I79">
            <v>0.10462581626253961</v>
          </cell>
          <cell r="J79">
            <v>4.8200157900845579E-2</v>
          </cell>
          <cell r="K79">
            <v>1.804732319552696E-2</v>
          </cell>
          <cell r="L79">
            <v>5.743230413789868E-3</v>
          </cell>
        </row>
        <row r="80">
          <cell r="A80">
            <v>1.7499</v>
          </cell>
          <cell r="B80">
            <v>5.087193724077922E-3</v>
          </cell>
          <cell r="C80">
            <v>1.5650236804033761E-2</v>
          </cell>
          <cell r="D80">
            <v>4.0591812124996476E-2</v>
          </cell>
          <cell r="E80">
            <v>8.6364927439447098E-2</v>
          </cell>
          <cell r="F80">
            <v>0.14078499270551031</v>
          </cell>
          <cell r="G80">
            <v>0.16942223007785229</v>
          </cell>
          <cell r="H80">
            <v>0.14078499270551031</v>
          </cell>
          <cell r="I80">
            <v>8.6364927439447098E-2</v>
          </cell>
          <cell r="J80">
            <v>4.0591812124996476E-2</v>
          </cell>
          <cell r="K80">
            <v>1.5650236804033761E-2</v>
          </cell>
          <cell r="L80">
            <v>5.087193724077922E-3</v>
          </cell>
        </row>
        <row r="81">
          <cell r="A81">
            <v>1.9999</v>
          </cell>
          <cell r="B81">
            <v>4.3573383849544924E-3</v>
          </cell>
          <cell r="C81">
            <v>1.3118927842975097E-2</v>
          </cell>
          <cell r="D81">
            <v>3.3081765296513931E-2</v>
          </cell>
          <cell r="E81">
            <v>6.7979177743727678E-2</v>
          </cell>
          <cell r="F81">
            <v>0.10883471711530616</v>
          </cell>
          <cell r="G81">
            <v>0.12593156485847823</v>
          </cell>
          <cell r="H81">
            <v>0.10883471711530616</v>
          </cell>
          <cell r="I81">
            <v>6.7979177743727678E-2</v>
          </cell>
          <cell r="J81">
            <v>3.3081765296513931E-2</v>
          </cell>
          <cell r="K81">
            <v>1.3118927842975097E-2</v>
          </cell>
          <cell r="L81">
            <v>4.3573383849544924E-3</v>
          </cell>
        </row>
        <row r="82">
          <cell r="A82">
            <v>2.2499000000000002</v>
          </cell>
          <cell r="B82">
            <v>3.6135870261085868E-3</v>
          </cell>
          <cell r="C82">
            <v>1.0649282029567643E-2</v>
          </cell>
          <cell r="D82">
            <v>2.6150877955112183E-2</v>
          </cell>
          <cell r="E82">
            <v>5.2122786718246585E-2</v>
          </cell>
          <cell r="F82">
            <v>8.1155464371060096E-2</v>
          </cell>
          <cell r="G82">
            <v>9.4679071368062584E-2</v>
          </cell>
          <cell r="H82">
            <v>8.1155464371060096E-2</v>
          </cell>
          <cell r="I82">
            <v>5.2122786718246585E-2</v>
          </cell>
          <cell r="J82">
            <v>2.6150877955112183E-2</v>
          </cell>
          <cell r="K82">
            <v>1.0649282029567643E-2</v>
          </cell>
          <cell r="L82">
            <v>3.6135870261085868E-3</v>
          </cell>
        </row>
        <row r="83">
          <cell r="A83">
            <v>2.4999000000000002</v>
          </cell>
          <cell r="B83">
            <v>3.3154000050871391E-3</v>
          </cell>
          <cell r="C83">
            <v>8.384314987895599E-3</v>
          </cell>
          <cell r="D83">
            <v>2.0086717933478913E-2</v>
          </cell>
          <cell r="E83">
            <v>3.8982270715768173E-2</v>
          </cell>
          <cell r="F83">
            <v>5.9329215378991731E-2</v>
          </cell>
          <cell r="G83">
            <v>6.8570669221941188E-2</v>
          </cell>
          <cell r="H83">
            <v>5.9329215378991731E-2</v>
          </cell>
          <cell r="I83">
            <v>3.8982270715768173E-2</v>
          </cell>
          <cell r="J83">
            <v>2.0086717933478913E-2</v>
          </cell>
          <cell r="K83">
            <v>8.384314987895599E-3</v>
          </cell>
          <cell r="L83">
            <v>3.3154000050871391E-3</v>
          </cell>
        </row>
        <row r="84">
          <cell r="A84">
            <v>2.7499000000000002</v>
          </cell>
          <cell r="B84">
            <v>2.5506947418129007E-3</v>
          </cell>
          <cell r="C84">
            <v>6.4110174923785969E-3</v>
          </cell>
          <cell r="D84">
            <v>1.5012986648752738E-2</v>
          </cell>
          <cell r="E84">
            <v>2.8462967001002315E-2</v>
          </cell>
          <cell r="F84">
            <v>4.2508840294753512E-2</v>
          </cell>
          <cell r="G84">
            <v>4.8763779434956307E-2</v>
          </cell>
          <cell r="H84">
            <v>4.2508840294753512E-2</v>
          </cell>
          <cell r="I84">
            <v>2.8462967001002315E-2</v>
          </cell>
          <cell r="J84">
            <v>1.5012986648752738E-2</v>
          </cell>
          <cell r="K84">
            <v>6.4110174923785969E-3</v>
          </cell>
          <cell r="L84">
            <v>2.5506947418129007E-3</v>
          </cell>
        </row>
        <row r="85">
          <cell r="A85">
            <v>2.9999000000000002</v>
          </cell>
          <cell r="B85">
            <v>1.9001271215195704E-3</v>
          </cell>
          <cell r="C85">
            <v>4.7664754954719075E-3</v>
          </cell>
          <cell r="D85">
            <v>1.0930515032910548E-2</v>
          </cell>
          <cell r="E85">
            <v>2.0301839626725569E-2</v>
          </cell>
          <cell r="F85">
            <v>2.9842332190660861E-2</v>
          </cell>
          <cell r="G85">
            <v>3.4024482137157461E-2</v>
          </cell>
          <cell r="H85">
            <v>2.9842332190660861E-2</v>
          </cell>
          <cell r="I85">
            <v>2.030183962672559E-2</v>
          </cell>
          <cell r="J85">
            <v>1.0930515032910548E-2</v>
          </cell>
          <cell r="K85">
            <v>4.7664754954719075E-3</v>
          </cell>
          <cell r="L85">
            <v>1.9001271215195704E-3</v>
          </cell>
        </row>
        <row r="86">
          <cell r="A86">
            <v>3.2499000000000002</v>
          </cell>
          <cell r="B86">
            <v>1.3712839948478682E-3</v>
          </cell>
          <cell r="C86">
            <v>3.9074039110964884E-3</v>
          </cell>
          <cell r="D86">
            <v>7.75904627585371E-3</v>
          </cell>
          <cell r="E86">
            <v>1.4152318055964435E-2</v>
          </cell>
          <cell r="F86">
            <v>2.052300642346511E-2</v>
          </cell>
          <cell r="G86">
            <v>2.3279976033479359E-2</v>
          </cell>
          <cell r="H86">
            <v>2.052300642346511E-2</v>
          </cell>
          <cell r="I86">
            <v>1.4152318055964435E-2</v>
          </cell>
          <cell r="J86">
            <v>7.75904627585371E-3</v>
          </cell>
          <cell r="K86">
            <v>3.9074039110964884E-3</v>
          </cell>
          <cell r="L86">
            <v>1.3712839948478682E-3</v>
          </cell>
        </row>
        <row r="87">
          <cell r="A87">
            <v>3.4999000000000002</v>
          </cell>
          <cell r="B87">
            <v>9.5911682209374322E-4</v>
          </cell>
          <cell r="C87">
            <v>2.701126252291347E-3</v>
          </cell>
          <cell r="D87">
            <v>5.373640919954804E-3</v>
          </cell>
          <cell r="E87">
            <v>9.6449963860495824E-3</v>
          </cell>
          <cell r="F87">
            <v>1.3824236650532947E-2</v>
          </cell>
          <cell r="G87">
            <v>1.5613626442194791E-2</v>
          </cell>
          <cell r="H87">
            <v>1.3824236650532947E-2</v>
          </cell>
          <cell r="I87">
            <v>9.6449963860495893E-3</v>
          </cell>
          <cell r="J87">
            <v>5.373640919954804E-3</v>
          </cell>
          <cell r="K87">
            <v>2.701126252291347E-3</v>
          </cell>
          <cell r="L87">
            <v>9.5911682209374322E-4</v>
          </cell>
        </row>
        <row r="88">
          <cell r="A88">
            <v>3.7499000000000002</v>
          </cell>
          <cell r="B88">
            <v>6.5036681484074738E-4</v>
          </cell>
          <cell r="C88">
            <v>1.812156886223996E-3</v>
          </cell>
          <cell r="D88">
            <v>4.0840753946148785E-3</v>
          </cell>
          <cell r="E88">
            <v>6.4278701131493957E-3</v>
          </cell>
          <cell r="F88">
            <v>9.1198595048425195E-3</v>
          </cell>
          <cell r="G88">
            <v>1.0262121420316296E-2</v>
          </cell>
          <cell r="H88">
            <v>9.1198595048425195E-3</v>
          </cell>
          <cell r="I88">
            <v>6.4278701131493957E-3</v>
          </cell>
          <cell r="J88">
            <v>4.0840753946148785E-3</v>
          </cell>
          <cell r="K88">
            <v>1.812156886223996E-3</v>
          </cell>
          <cell r="L88">
            <v>6.5036681484074738E-4</v>
          </cell>
        </row>
        <row r="89">
          <cell r="A89">
            <v>3.9999000000000002</v>
          </cell>
          <cell r="B89">
            <v>4.2766239505415116E-4</v>
          </cell>
          <cell r="C89">
            <v>1.1801165131142335E-3</v>
          </cell>
          <cell r="D89">
            <v>2.633138969896968E-3</v>
          </cell>
          <cell r="E89">
            <v>4.7135340812280201E-3</v>
          </cell>
          <cell r="F89">
            <v>6.7139505925729731E-3</v>
          </cell>
          <cell r="G89">
            <v>6.6083545397278331E-3</v>
          </cell>
          <cell r="H89">
            <v>6.7139505925729731E-3</v>
          </cell>
          <cell r="I89">
            <v>4.7135340812280201E-3</v>
          </cell>
          <cell r="J89">
            <v>2.633138969896968E-3</v>
          </cell>
          <cell r="K89">
            <v>1.1801165131142335E-3</v>
          </cell>
          <cell r="L89">
            <v>4.2766239505415116E-4</v>
          </cell>
        </row>
        <row r="90">
          <cell r="A90">
            <v>4.2499000000000002</v>
          </cell>
          <cell r="B90">
            <v>2.7276401760091817E-4</v>
          </cell>
          <cell r="C90">
            <v>7.4608285905219853E-4</v>
          </cell>
          <cell r="D90">
            <v>1.6499830333551329E-3</v>
          </cell>
          <cell r="E90">
            <v>2.9303650093689096E-3</v>
          </cell>
          <cell r="F90">
            <v>4.1508376084226778E-3</v>
          </cell>
          <cell r="G90">
            <v>4.6647710043950961E-3</v>
          </cell>
          <cell r="H90">
            <v>4.1508376084226778E-3</v>
          </cell>
          <cell r="I90">
            <v>2.9303650093689096E-3</v>
          </cell>
          <cell r="J90">
            <v>1.6499830333551329E-3</v>
          </cell>
          <cell r="K90">
            <v>7.4608285905219853E-4</v>
          </cell>
          <cell r="L90">
            <v>2.7276401760091817E-4</v>
          </cell>
        </row>
        <row r="91">
          <cell r="A91">
            <v>4.4999000000000002</v>
          </cell>
          <cell r="B91">
            <v>1.687651254755434E-4</v>
          </cell>
          <cell r="C91">
            <v>4.5794686539199524E-4</v>
          </cell>
          <cell r="D91">
            <v>1.0048054823257912E-3</v>
          </cell>
          <cell r="E91">
            <v>1.7722947738704456E-3</v>
          </cell>
          <cell r="F91">
            <v>2.4984856537976761E-3</v>
          </cell>
          <cell r="G91">
            <v>2.8030143372003691E-3</v>
          </cell>
          <cell r="H91">
            <v>2.4984856537976761E-3</v>
          </cell>
          <cell r="I91">
            <v>1.7722947738704456E-3</v>
          </cell>
          <cell r="J91">
            <v>1.0048054823257912E-3</v>
          </cell>
          <cell r="K91">
            <v>4.5794686539199524E-4</v>
          </cell>
          <cell r="L91">
            <v>1.687651254755434E-4</v>
          </cell>
        </row>
        <row r="92">
          <cell r="A92">
            <v>4.7499000000000002</v>
          </cell>
          <cell r="B92">
            <v>1.0130639363374625E-4</v>
          </cell>
          <cell r="C92">
            <v>2.7291351048606532E-4</v>
          </cell>
          <cell r="D92">
            <v>5.9462480680759521E-4</v>
          </cell>
          <cell r="E92">
            <v>1.0425154852419097E-3</v>
          </cell>
          <cell r="F92">
            <v>1.4636388936262832E-3</v>
          </cell>
          <cell r="G92">
            <v>1.6396198563146832E-3</v>
          </cell>
          <cell r="H92">
            <v>1.4636388936262832E-3</v>
          </cell>
          <cell r="I92">
            <v>1.0425154852419097E-3</v>
          </cell>
          <cell r="J92">
            <v>5.9462480680759521E-4</v>
          </cell>
          <cell r="K92">
            <v>2.7291351048606532E-4</v>
          </cell>
          <cell r="L92">
            <v>1.0130639363374625E-4</v>
          </cell>
        </row>
        <row r="93">
          <cell r="A93">
            <v>4.9999000000000002</v>
          </cell>
          <cell r="B93">
            <v>5.9004391461890857E-5</v>
          </cell>
          <cell r="C93">
            <v>1.5791395039137715E-4</v>
          </cell>
          <cell r="D93">
            <v>3.4191535797146202E-4</v>
          </cell>
          <cell r="E93">
            <v>5.9629458025289546E-4</v>
          </cell>
          <cell r="F93">
            <v>8.3417713831768301E-4</v>
          </cell>
          <cell r="G93">
            <v>9.3328860712920227E-4</v>
          </cell>
          <cell r="H93">
            <v>8.3417713831768301E-4</v>
          </cell>
          <cell r="I93">
            <v>5.9629458025289546E-4</v>
          </cell>
          <cell r="J93">
            <v>3.4191535797146202E-4</v>
          </cell>
          <cell r="K93">
            <v>1.5791395039137715E-4</v>
          </cell>
          <cell r="L93">
            <v>5.9004391461890857E-5</v>
          </cell>
        </row>
        <row r="94">
          <cell r="A94">
            <v>5.2499000000000002</v>
          </cell>
          <cell r="B94">
            <v>3.3346375088622355E-5</v>
          </cell>
          <cell r="C94">
            <v>8.871476583293089E-5</v>
          </cell>
          <cell r="D94">
            <v>1.9101251908742778E-4</v>
          </cell>
          <cell r="E94">
            <v>3.315715250880289E-4</v>
          </cell>
          <cell r="F94">
            <v>4.6239969911025087E-4</v>
          </cell>
          <cell r="G94">
            <v>5.1676875656329825E-4</v>
          </cell>
          <cell r="H94">
            <v>4.6239969911025087E-4</v>
          </cell>
          <cell r="I94">
            <v>3.315715250880289E-4</v>
          </cell>
          <cell r="J94">
            <v>1.9101251908742778E-4</v>
          </cell>
          <cell r="K94">
            <v>8.871476583293089E-5</v>
          </cell>
          <cell r="L94">
            <v>3.3346375088622355E-5</v>
          </cell>
        </row>
        <row r="95">
          <cell r="A95">
            <v>5.4999000000000002</v>
          </cell>
          <cell r="B95">
            <v>1.8287073081273996E-5</v>
          </cell>
          <cell r="C95">
            <v>4.8388156892972123E-5</v>
          </cell>
          <cell r="D95">
            <v>1.0366321143804725E-4</v>
          </cell>
          <cell r="E95">
            <v>1.79202736020493E-4</v>
          </cell>
          <cell r="F95">
            <v>2.4922615028811124E-4</v>
          </cell>
          <cell r="G95">
            <v>2.782619934236699E-4</v>
          </cell>
          <cell r="H95">
            <v>2.4922615028811124E-4</v>
          </cell>
          <cell r="I95">
            <v>1.79202736020493E-4</v>
          </cell>
          <cell r="J95">
            <v>1.0366321143804725E-4</v>
          </cell>
          <cell r="K95">
            <v>4.8388156892972123E-5</v>
          </cell>
          <cell r="L95">
            <v>1.8287073081273996E-5</v>
          </cell>
        </row>
        <row r="96">
          <cell r="A96">
            <v>5.7499000000000002</v>
          </cell>
          <cell r="B96">
            <v>9.7314683833744073E-6</v>
          </cell>
          <cell r="C96">
            <v>2.5623186240581596E-5</v>
          </cell>
          <cell r="D96">
            <v>5.4646104044736305E-5</v>
          </cell>
          <cell r="E96">
            <v>9.4120173333793662E-5</v>
          </cell>
          <cell r="F96">
            <v>1.3058123673670736E-4</v>
          </cell>
          <cell r="G96">
            <v>1.4567114630746196E-4</v>
          </cell>
          <cell r="H96">
            <v>1.3058123673670736E-4</v>
          </cell>
          <cell r="I96">
            <v>9.4120173333793662E-5</v>
          </cell>
          <cell r="J96">
            <v>5.4646104044736305E-5</v>
          </cell>
          <cell r="K96">
            <v>2.5623186240581596E-5</v>
          </cell>
          <cell r="L96">
            <v>9.7314683833744073E-6</v>
          </cell>
        </row>
        <row r="97">
          <cell r="A97">
            <v>5.9999000000000002</v>
          </cell>
          <cell r="B97">
            <v>5.0251948973337202E-6</v>
          </cell>
          <cell r="C97">
            <v>1.3172190351396975E-5</v>
          </cell>
          <cell r="D97">
            <v>2.7978123423960229E-5</v>
          </cell>
          <cell r="E97">
            <v>4.8030529168570249E-5</v>
          </cell>
          <cell r="F97">
            <v>6.6494264291480862E-5</v>
          </cell>
          <cell r="G97">
            <v>7.412291717888844E-5</v>
          </cell>
          <cell r="H97">
            <v>6.6494264291480862E-5</v>
          </cell>
          <cell r="I97">
            <v>4.8030529168570249E-5</v>
          </cell>
          <cell r="J97">
            <v>2.7978123423960229E-5</v>
          </cell>
          <cell r="K97">
            <v>1.3172190351396975E-5</v>
          </cell>
          <cell r="L97">
            <v>5.0251948973337202E-6</v>
          </cell>
        </row>
        <row r="98">
          <cell r="A98">
            <v>6.2499000000000002</v>
          </cell>
          <cell r="B98">
            <v>2.5180551215537209E-6</v>
          </cell>
          <cell r="C98">
            <v>6.5734221927984375E-6</v>
          </cell>
          <cell r="D98">
            <v>1.3910971083399191E-5</v>
          </cell>
          <cell r="E98">
            <v>2.3811149479118641E-5</v>
          </cell>
          <cell r="F98">
            <v>3.2901709955755293E-5</v>
          </cell>
          <cell r="G98">
            <v>3.6652114692857358E-5</v>
          </cell>
          <cell r="H98">
            <v>3.2901709955755293E-5</v>
          </cell>
          <cell r="I98">
            <v>2.3811149479118641E-5</v>
          </cell>
          <cell r="J98">
            <v>1.3910971083399191E-5</v>
          </cell>
          <cell r="K98">
            <v>6.5734221927984375E-6</v>
          </cell>
          <cell r="L98">
            <v>2.5180551215537209E-6</v>
          </cell>
        </row>
      </sheetData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e5"/>
      <sheetName val="EEXP(Z)"/>
      <sheetName val="ERFCC(Z)"/>
      <sheetName val="ERFF(Z)"/>
    </sheetNames>
    <sheetDataSet>
      <sheetData sheetId="0"/>
      <sheetData sheetId="1">
        <row r="1">
          <cell r="A1" t="b">
            <v>1</v>
          </cell>
        </row>
      </sheetData>
      <sheetData sheetId="2">
        <row r="1">
          <cell r="E1" t="b">
            <v>1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2E9CB8"/>
      </a:accent2>
      <a:accent3>
        <a:srgbClr val="E97132"/>
      </a:accent3>
      <a:accent4>
        <a:srgbClr val="196B24"/>
      </a:accent4>
      <a:accent5>
        <a:srgbClr val="4EA72E"/>
      </a:accent5>
      <a:accent6>
        <a:srgbClr val="C80724"/>
      </a:accent6>
      <a:hlink>
        <a:srgbClr val="518B9B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22C97-A7E7-E94A-AFCD-C9E17B735C00}">
  <sheetPr codeName="Sheet7"/>
  <dimension ref="A1:L103"/>
  <sheetViews>
    <sheetView tabSelected="1" workbookViewId="0">
      <selection activeCell="F62" sqref="F62"/>
    </sheetView>
  </sheetViews>
  <sheetFormatPr baseColWidth="10" defaultRowHeight="15" x14ac:dyDescent="0.2"/>
  <cols>
    <col min="1" max="1" width="22.33203125" customWidth="1"/>
    <col min="2" max="2" width="12.33203125" bestFit="1" customWidth="1"/>
    <col min="3" max="3" width="12.1640625" bestFit="1" customWidth="1"/>
    <col min="4" max="4" width="12.33203125" bestFit="1" customWidth="1"/>
    <col min="5" max="8" width="12.1640625" bestFit="1" customWidth="1"/>
    <col min="9" max="9" width="10.6640625" customWidth="1"/>
    <col min="10" max="12" width="12.1640625" bestFit="1" customWidth="1"/>
  </cols>
  <sheetData>
    <row r="1" spans="1:9" x14ac:dyDescent="0.2">
      <c r="A1" s="1" t="s">
        <v>0</v>
      </c>
      <c r="B1" s="1" t="s">
        <v>1</v>
      </c>
      <c r="C1" s="1"/>
      <c r="E1" s="2"/>
      <c r="F1" s="2"/>
      <c r="G1" s="2"/>
      <c r="H1" s="2"/>
      <c r="I1" s="2"/>
    </row>
    <row r="2" spans="1:9" x14ac:dyDescent="0.2">
      <c r="A2" s="1" t="s">
        <v>2</v>
      </c>
      <c r="B2" s="1" t="s">
        <v>3</v>
      </c>
      <c r="C2" s="1"/>
      <c r="E2" s="2"/>
      <c r="F2" s="2"/>
      <c r="G2" s="2"/>
      <c r="H2" s="2"/>
      <c r="I2" s="2"/>
    </row>
    <row r="3" spans="1:9" x14ac:dyDescent="0.2">
      <c r="A3" s="1" t="s">
        <v>4</v>
      </c>
      <c r="B3" s="1">
        <v>2</v>
      </c>
      <c r="C3" s="1"/>
      <c r="E3" s="2"/>
      <c r="F3" s="2"/>
      <c r="G3" s="2"/>
      <c r="H3" s="2"/>
      <c r="I3" s="2"/>
    </row>
    <row r="4" spans="1:9" x14ac:dyDescent="0.2">
      <c r="A4" s="1" t="s">
        <v>5</v>
      </c>
      <c r="B4" s="1" t="s">
        <v>6</v>
      </c>
      <c r="C4" s="1"/>
      <c r="E4" s="2"/>
      <c r="F4" s="2"/>
      <c r="G4" s="2"/>
      <c r="H4" s="2"/>
      <c r="I4" s="2"/>
    </row>
    <row r="5" spans="1:9" x14ac:dyDescent="0.2">
      <c r="A5" s="1" t="s">
        <v>7</v>
      </c>
      <c r="B5" s="1" t="s">
        <v>6</v>
      </c>
      <c r="C5" s="1"/>
      <c r="E5" s="2"/>
      <c r="F5" s="2"/>
      <c r="G5" s="2"/>
      <c r="H5" s="2"/>
      <c r="I5" s="2"/>
    </row>
    <row r="6" spans="1:9" x14ac:dyDescent="0.2">
      <c r="A6" s="1" t="s">
        <v>8</v>
      </c>
      <c r="B6" s="1" t="s">
        <v>9</v>
      </c>
      <c r="C6" s="1"/>
      <c r="E6" s="2"/>
      <c r="F6" s="2"/>
      <c r="G6" s="2"/>
      <c r="H6" s="2"/>
      <c r="I6" s="2"/>
    </row>
    <row r="7" spans="1:9" x14ac:dyDescent="0.2">
      <c r="A7" s="1" t="s">
        <v>10</v>
      </c>
      <c r="B7" s="1" t="s">
        <v>11</v>
      </c>
      <c r="C7" s="1"/>
      <c r="E7" s="2"/>
      <c r="F7" s="2"/>
      <c r="G7" s="2"/>
      <c r="H7" s="2"/>
      <c r="I7" s="2"/>
    </row>
    <row r="8" spans="1:9" x14ac:dyDescent="0.2">
      <c r="A8" s="1" t="s">
        <v>12</v>
      </c>
      <c r="B8" s="1" t="s">
        <v>13</v>
      </c>
      <c r="C8" s="1"/>
      <c r="E8" s="2"/>
      <c r="F8" s="2"/>
      <c r="G8" s="2"/>
      <c r="H8" s="2"/>
      <c r="I8" s="2"/>
    </row>
    <row r="9" spans="1:9" x14ac:dyDescent="0.2">
      <c r="A9" s="1" t="s">
        <v>14</v>
      </c>
      <c r="B9" s="1" t="s">
        <v>13</v>
      </c>
      <c r="C9" s="1"/>
      <c r="E9" s="2"/>
      <c r="F9" s="2"/>
      <c r="G9" s="2"/>
      <c r="H9" s="2"/>
      <c r="I9" s="2"/>
    </row>
    <row r="10" spans="1:9" x14ac:dyDescent="0.2">
      <c r="A10" s="1" t="s">
        <v>15</v>
      </c>
      <c r="B10" s="1" t="s">
        <v>16</v>
      </c>
      <c r="C10" s="1"/>
      <c r="E10" s="2"/>
      <c r="F10" s="2"/>
      <c r="G10" s="2"/>
      <c r="H10" s="2"/>
      <c r="I10" s="2"/>
    </row>
    <row r="11" spans="1:9" x14ac:dyDescent="0.2">
      <c r="B11" s="1" t="s">
        <v>17</v>
      </c>
      <c r="E11" s="2"/>
      <c r="F11" s="2"/>
      <c r="G11" s="2"/>
      <c r="H11" s="2"/>
      <c r="I11" s="2"/>
    </row>
    <row r="12" spans="1:9" x14ac:dyDescent="0.2">
      <c r="B12" s="1" t="s">
        <v>18</v>
      </c>
      <c r="E12" s="2"/>
      <c r="F12" s="2"/>
      <c r="G12" s="2"/>
      <c r="H12" s="2"/>
      <c r="I12" s="2"/>
    </row>
    <row r="13" spans="1:9" x14ac:dyDescent="0.2">
      <c r="A13" s="1" t="s">
        <v>19</v>
      </c>
      <c r="B13" s="1"/>
      <c r="C13" s="1"/>
      <c r="E13" s="2"/>
      <c r="F13" s="2"/>
      <c r="G13" s="2"/>
      <c r="H13" s="2"/>
      <c r="I13" s="2"/>
    </row>
    <row r="14" spans="1:9" x14ac:dyDescent="0.2">
      <c r="A14" s="1" t="s">
        <v>20</v>
      </c>
      <c r="B14" s="1" t="s">
        <v>21</v>
      </c>
      <c r="C14" s="1"/>
      <c r="E14" s="2"/>
      <c r="F14" s="2"/>
      <c r="G14" s="2"/>
      <c r="H14" s="2"/>
      <c r="I14" s="2"/>
    </row>
    <row r="15" spans="1:9" x14ac:dyDescent="0.2">
      <c r="B15" s="1" t="s">
        <v>22</v>
      </c>
      <c r="C15" s="1"/>
      <c r="E15" s="2"/>
      <c r="F15" s="2"/>
      <c r="G15" s="2"/>
      <c r="H15" s="2"/>
      <c r="I15" s="2"/>
    </row>
    <row r="16" spans="1:9" x14ac:dyDescent="0.2">
      <c r="A16" s="1" t="s">
        <v>23</v>
      </c>
      <c r="B16" s="1" t="s">
        <v>24</v>
      </c>
      <c r="C16" s="1"/>
      <c r="E16" s="2"/>
      <c r="F16" s="2"/>
      <c r="G16" s="2"/>
      <c r="H16" s="2"/>
      <c r="I16" s="2"/>
    </row>
    <row r="17" spans="1:12" ht="16" x14ac:dyDescent="0.2">
      <c r="A17" s="1"/>
      <c r="B17" s="1" t="s">
        <v>25</v>
      </c>
      <c r="C17" s="1"/>
      <c r="E17" s="2"/>
      <c r="F17" s="2"/>
      <c r="G17" s="2"/>
      <c r="H17" s="2"/>
      <c r="I17" s="2"/>
      <c r="J17" s="3"/>
      <c r="K17" s="2"/>
      <c r="L17" s="2"/>
    </row>
    <row r="18" spans="1:12" ht="16" x14ac:dyDescent="0.2">
      <c r="E18" s="2"/>
      <c r="F18" s="2"/>
      <c r="G18" s="2"/>
      <c r="H18" s="2"/>
      <c r="I18" s="2"/>
      <c r="J18" s="3"/>
      <c r="K18" s="2"/>
      <c r="L18" s="2"/>
    </row>
    <row r="19" spans="1:12" ht="16" x14ac:dyDescent="0.2">
      <c r="A19" s="1" t="s">
        <v>26</v>
      </c>
      <c r="B19" s="1" t="s">
        <v>27</v>
      </c>
      <c r="D19" s="1" t="s">
        <v>28</v>
      </c>
      <c r="E19" s="2"/>
      <c r="F19" s="2"/>
      <c r="G19" s="2"/>
      <c r="H19" s="2"/>
      <c r="I19" s="2"/>
      <c r="J19" s="3"/>
      <c r="K19" s="2"/>
      <c r="L19" s="2"/>
    </row>
    <row r="20" spans="1:12" ht="16" x14ac:dyDescent="0.2">
      <c r="A20" s="2"/>
      <c r="B20" s="2"/>
      <c r="C20" s="2"/>
      <c r="D20" s="2"/>
      <c r="E20" s="2"/>
      <c r="F20" s="2"/>
      <c r="G20" s="2"/>
      <c r="H20" s="2"/>
      <c r="I20" s="2"/>
      <c r="J20" s="3"/>
      <c r="K20" s="2"/>
      <c r="L20" s="2"/>
    </row>
    <row r="21" spans="1:12" ht="16" x14ac:dyDescent="0.2">
      <c r="A21" s="1" t="s">
        <v>29</v>
      </c>
      <c r="B21" s="1"/>
      <c r="C21" s="1"/>
      <c r="D21" s="1"/>
      <c r="E21" s="2"/>
      <c r="F21" s="2"/>
      <c r="G21" s="2"/>
      <c r="H21" s="2"/>
      <c r="I21" s="2"/>
      <c r="J21" s="3"/>
      <c r="K21" s="2"/>
      <c r="L21" s="2"/>
    </row>
    <row r="22" spans="1:12" x14ac:dyDescent="0.2">
      <c r="A22" s="1"/>
      <c r="B22" s="1" t="s">
        <v>30</v>
      </c>
      <c r="C22" s="1"/>
      <c r="D22" s="1"/>
      <c r="E22" s="2"/>
      <c r="F22" s="2"/>
      <c r="G22" s="2"/>
      <c r="K22" s="2"/>
      <c r="L22" s="2"/>
    </row>
    <row r="23" spans="1:12" x14ac:dyDescent="0.2">
      <c r="A23" s="1" t="s">
        <v>31</v>
      </c>
      <c r="B23" s="1">
        <v>100000</v>
      </c>
      <c r="C23" s="1" t="s">
        <v>32</v>
      </c>
      <c r="D23" s="1"/>
      <c r="K23" s="2"/>
      <c r="L23" s="2"/>
    </row>
    <row r="24" spans="1:12" x14ac:dyDescent="0.2">
      <c r="A24" s="1" t="s">
        <v>33</v>
      </c>
      <c r="B24" s="1">
        <f>B23/(100^3)</f>
        <v>0.1</v>
      </c>
      <c r="C24" s="1" t="s">
        <v>34</v>
      </c>
      <c r="D24" s="1"/>
      <c r="E24" s="2"/>
      <c r="F24" s="2"/>
      <c r="K24" s="2"/>
      <c r="L24" s="2"/>
    </row>
    <row r="25" spans="1:12" x14ac:dyDescent="0.2">
      <c r="A25" s="1" t="s">
        <v>35</v>
      </c>
      <c r="B25" s="1">
        <v>10</v>
      </c>
      <c r="C25" s="1" t="s">
        <v>36</v>
      </c>
      <c r="D25" s="1"/>
      <c r="K25" s="2"/>
      <c r="L25" s="2"/>
    </row>
    <row r="26" spans="1:12" x14ac:dyDescent="0.2">
      <c r="A26" s="1" t="s">
        <v>37</v>
      </c>
      <c r="B26" s="1">
        <f>B25*(3.25^3)/(7.48)/(1440)</f>
        <v>3.1870288361556739E-2</v>
      </c>
      <c r="C26" s="1" t="s">
        <v>38</v>
      </c>
      <c r="D26" s="1"/>
      <c r="E26" s="2"/>
      <c r="F26" s="2"/>
      <c r="K26" s="2"/>
      <c r="L26" s="2"/>
    </row>
    <row r="27" spans="1:12" x14ac:dyDescent="0.2">
      <c r="A27" s="1" t="s">
        <v>39</v>
      </c>
      <c r="B27" s="1">
        <v>1</v>
      </c>
      <c r="C27" s="1" t="s">
        <v>40</v>
      </c>
      <c r="D27" s="1"/>
      <c r="E27" s="2"/>
      <c r="F27" s="2"/>
      <c r="G27" s="2"/>
      <c r="K27" s="2"/>
      <c r="L27" s="2"/>
    </row>
    <row r="28" spans="1:12" x14ac:dyDescent="0.2">
      <c r="A28" s="1" t="s">
        <v>41</v>
      </c>
      <c r="B28" s="1">
        <v>0.3</v>
      </c>
      <c r="C28" s="1" t="s">
        <v>42</v>
      </c>
      <c r="D28" s="1"/>
      <c r="E28" s="2"/>
      <c r="F28" s="2"/>
      <c r="G28" s="2"/>
      <c r="K28" s="2"/>
      <c r="L28" s="2"/>
    </row>
    <row r="29" spans="1:12" x14ac:dyDescent="0.2">
      <c r="A29" s="1" t="s">
        <v>43</v>
      </c>
      <c r="B29" s="1">
        <v>0.3</v>
      </c>
      <c r="C29" s="1" t="s">
        <v>44</v>
      </c>
      <c r="D29" s="1"/>
      <c r="E29" s="2"/>
      <c r="F29" s="2"/>
      <c r="G29" s="2"/>
      <c r="K29" s="2"/>
      <c r="L29" s="2"/>
    </row>
    <row r="30" spans="1:12" ht="18" x14ac:dyDescent="0.25">
      <c r="A30" s="4" t="s">
        <v>45</v>
      </c>
      <c r="B30" s="1">
        <v>1</v>
      </c>
      <c r="C30" s="1" t="s">
        <v>46</v>
      </c>
      <c r="D30" s="1"/>
      <c r="E30" s="2"/>
      <c r="F30" s="2"/>
      <c r="G30" s="2"/>
      <c r="K30" s="2"/>
      <c r="L30" s="2"/>
    </row>
    <row r="31" spans="1:12" ht="18" x14ac:dyDescent="0.25">
      <c r="A31" s="4" t="s">
        <v>47</v>
      </c>
      <c r="B31" s="1">
        <v>0.1</v>
      </c>
      <c r="C31" s="1" t="s">
        <v>48</v>
      </c>
      <c r="D31" s="1"/>
      <c r="E31" s="2"/>
      <c r="F31" s="2"/>
      <c r="G31" s="2"/>
      <c r="K31" s="2"/>
      <c r="L31" s="2"/>
    </row>
    <row r="32" spans="1:12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2">
      <c r="A33" s="1" t="s">
        <v>49</v>
      </c>
      <c r="B33" s="1"/>
      <c r="C33" s="1"/>
      <c r="D33" s="2"/>
      <c r="E33" s="2"/>
      <c r="F33" s="2"/>
      <c r="G33" s="2"/>
      <c r="H33" s="2"/>
      <c r="I33" s="2"/>
      <c r="J33" s="2"/>
      <c r="K33" s="2"/>
      <c r="L33" s="2"/>
    </row>
    <row r="34" spans="1:12" x14ac:dyDescent="0.2">
      <c r="A34" s="1" t="s">
        <v>50</v>
      </c>
      <c r="B34" s="1">
        <f>B23*B25</f>
        <v>1000000</v>
      </c>
      <c r="C34" s="1" t="s">
        <v>51</v>
      </c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2">
      <c r="A35" s="1" t="s">
        <v>52</v>
      </c>
      <c r="B35" s="1">
        <f>2*B36/B40</f>
        <v>2</v>
      </c>
      <c r="C35" s="1"/>
      <c r="D35" s="2"/>
      <c r="E35" s="2"/>
      <c r="F35" s="2"/>
      <c r="G35" s="2"/>
      <c r="H35" s="2"/>
      <c r="I35" s="2"/>
      <c r="J35" s="2"/>
      <c r="K35" s="2"/>
      <c r="L35" s="2"/>
    </row>
    <row r="36" spans="1:12" x14ac:dyDescent="0.2">
      <c r="A36" s="1" t="s">
        <v>53</v>
      </c>
      <c r="B36" s="1">
        <f>B30*B40</f>
        <v>1</v>
      </c>
      <c r="C36" s="1"/>
      <c r="D36" s="2"/>
      <c r="E36" s="2"/>
      <c r="F36" s="2"/>
      <c r="G36" s="2"/>
      <c r="H36" s="2"/>
      <c r="I36" s="2"/>
      <c r="J36" s="2"/>
      <c r="K36" s="2"/>
      <c r="L36" s="2"/>
    </row>
    <row r="37" spans="1:12" x14ac:dyDescent="0.2">
      <c r="A37" s="1" t="s">
        <v>54</v>
      </c>
      <c r="B37" s="1">
        <f>B31*B40</f>
        <v>0.1</v>
      </c>
      <c r="C37" s="1"/>
      <c r="D37" s="2"/>
      <c r="E37" s="2"/>
      <c r="F37" s="2"/>
      <c r="G37" s="2"/>
      <c r="H37" s="2"/>
      <c r="I37" s="2"/>
      <c r="J37" s="2"/>
      <c r="K37" s="2"/>
      <c r="L37" s="2"/>
    </row>
    <row r="38" spans="1:12" x14ac:dyDescent="0.2">
      <c r="A38" s="1" t="s">
        <v>55</v>
      </c>
      <c r="B38" s="1">
        <f>B36/B37</f>
        <v>10</v>
      </c>
      <c r="C38" s="1"/>
      <c r="D38" s="2"/>
      <c r="E38" s="2"/>
      <c r="F38" s="2"/>
      <c r="G38" s="2"/>
      <c r="H38" s="2"/>
      <c r="I38" s="2"/>
      <c r="J38" s="2"/>
      <c r="K38" s="2"/>
      <c r="L38" s="2"/>
    </row>
    <row r="39" spans="1:12" x14ac:dyDescent="0.2">
      <c r="A39" s="1" t="s">
        <v>56</v>
      </c>
      <c r="B39" s="1">
        <f>B36*B37</f>
        <v>0.1</v>
      </c>
      <c r="C39" s="1"/>
      <c r="D39" s="2"/>
      <c r="E39" s="2"/>
      <c r="F39" s="2"/>
      <c r="G39" s="2"/>
      <c r="H39" s="2"/>
      <c r="I39" s="2"/>
      <c r="J39" s="2"/>
      <c r="K39" s="2"/>
      <c r="L39" s="2"/>
    </row>
    <row r="40" spans="1:12" x14ac:dyDescent="0.2">
      <c r="A40" s="1" t="s">
        <v>57</v>
      </c>
      <c r="B40" s="1">
        <f>B29/B28</f>
        <v>1</v>
      </c>
      <c r="C40" s="1" t="s">
        <v>58</v>
      </c>
      <c r="D40" s="2"/>
      <c r="E40" s="2"/>
      <c r="F40" s="2"/>
      <c r="G40" s="2"/>
      <c r="H40" s="2"/>
      <c r="I40" s="2"/>
      <c r="J40" s="2"/>
      <c r="K40" s="2"/>
      <c r="L40" s="2"/>
    </row>
    <row r="41" spans="1:12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</row>
    <row r="42" spans="1:12" x14ac:dyDescent="0.2">
      <c r="A42" s="1"/>
      <c r="B42" s="1"/>
      <c r="C42" s="5" t="s">
        <v>59</v>
      </c>
      <c r="D42" s="1"/>
      <c r="E42" s="1"/>
      <c r="F42" s="1"/>
      <c r="G42" s="1"/>
      <c r="H42" s="1"/>
      <c r="I42" s="1"/>
      <c r="J42" s="1"/>
      <c r="K42" s="1"/>
      <c r="L42" s="1"/>
    </row>
    <row r="43" spans="1:12" x14ac:dyDescent="0.2">
      <c r="C43" s="1"/>
      <c r="D43" s="1" t="s">
        <v>60</v>
      </c>
      <c r="E43" s="1" t="s">
        <v>61</v>
      </c>
      <c r="F43" s="1"/>
      <c r="G43" s="1"/>
      <c r="H43" s="1"/>
      <c r="I43" s="1"/>
      <c r="J43" s="1"/>
      <c r="K43" s="1"/>
      <c r="L43" s="1"/>
    </row>
    <row r="44" spans="1:12" x14ac:dyDescent="0.2">
      <c r="A44" s="1" t="s">
        <v>62</v>
      </c>
      <c r="B44" s="1" t="s">
        <v>63</v>
      </c>
      <c r="C44" s="1" t="s">
        <v>64</v>
      </c>
      <c r="D44" s="1" t="s">
        <v>65</v>
      </c>
      <c r="E44" s="1" t="s">
        <v>66</v>
      </c>
      <c r="F44" s="1"/>
      <c r="G44" s="1"/>
      <c r="H44" s="1"/>
      <c r="I44" s="1"/>
      <c r="J44" s="1"/>
      <c r="K44" s="1"/>
      <c r="L44" s="1"/>
    </row>
    <row r="45" spans="1:12" x14ac:dyDescent="0.2">
      <c r="A45" s="1">
        <v>0.1</v>
      </c>
      <c r="B45" s="1">
        <v>0</v>
      </c>
      <c r="C45" s="1">
        <v>1E-4</v>
      </c>
      <c r="D45" s="1">
        <f>E45/(100^3)</f>
        <v>1.4162210646443757E-13</v>
      </c>
      <c r="E45" s="1">
        <f t="shared" ref="E45:E59" si="0">$B$34*EXP(A45/$B$35)*LEAKY(((A45^2+$B$38*B45^2)/(4*$B$36*C45)),SQRT(A45^2+$B$38*B45^2)/$B$35)/(4*PI()*SQRT($B$39))</f>
        <v>1.4162210646443757E-7</v>
      </c>
      <c r="F45" s="1"/>
      <c r="G45" s="1"/>
      <c r="H45" s="1"/>
      <c r="I45" s="1"/>
      <c r="J45" s="1"/>
      <c r="K45" s="1"/>
      <c r="L45" s="1"/>
    </row>
    <row r="46" spans="1:12" x14ac:dyDescent="0.2">
      <c r="A46" s="1">
        <v>0.1</v>
      </c>
      <c r="B46" s="1">
        <v>0</v>
      </c>
      <c r="C46" s="1">
        <v>1E-3</v>
      </c>
      <c r="D46" s="1">
        <f t="shared" ref="D46:D59" si="1">E46/(100^3)</f>
        <v>6.590605396853356E-3</v>
      </c>
      <c r="E46" s="1">
        <f t="shared" si="0"/>
        <v>6590.6053968533561</v>
      </c>
      <c r="F46" s="1"/>
      <c r="G46" s="1"/>
      <c r="H46" s="1"/>
      <c r="I46" s="1"/>
      <c r="J46" s="1"/>
      <c r="K46" s="1"/>
      <c r="L46" s="1"/>
    </row>
    <row r="47" spans="1:12" x14ac:dyDescent="0.2">
      <c r="A47" s="1">
        <v>0.1</v>
      </c>
      <c r="B47" s="1">
        <v>0</v>
      </c>
      <c r="C47" s="1">
        <v>0.01</v>
      </c>
      <c r="D47" s="1">
        <f t="shared" si="1"/>
        <v>0.27591599337605177</v>
      </c>
      <c r="E47" s="1">
        <f t="shared" si="0"/>
        <v>275915.99337605177</v>
      </c>
      <c r="F47" s="1"/>
      <c r="G47" s="1"/>
      <c r="H47" s="1"/>
      <c r="I47" s="1"/>
      <c r="J47" s="1"/>
      <c r="K47" s="1"/>
      <c r="L47" s="1"/>
    </row>
    <row r="48" spans="1:12" x14ac:dyDescent="0.2">
      <c r="A48" s="1">
        <v>0.1</v>
      </c>
      <c r="B48" s="1">
        <v>0</v>
      </c>
      <c r="C48" s="1">
        <v>0.1</v>
      </c>
      <c r="D48" s="1">
        <f t="shared" si="1"/>
        <v>0.82386094591890757</v>
      </c>
      <c r="E48" s="1">
        <f t="shared" si="0"/>
        <v>823860.94591890753</v>
      </c>
      <c r="F48" s="1"/>
      <c r="G48" s="1"/>
      <c r="H48" s="1"/>
      <c r="I48" s="1"/>
      <c r="J48" s="1"/>
      <c r="K48" s="1"/>
      <c r="L48" s="1"/>
    </row>
    <row r="49" spans="1:12" x14ac:dyDescent="0.2">
      <c r="A49" s="1">
        <v>0.1</v>
      </c>
      <c r="B49" s="1">
        <v>0</v>
      </c>
      <c r="C49" s="1">
        <v>1</v>
      </c>
      <c r="D49" s="1">
        <f t="shared" si="1"/>
        <v>1.3718059639871558</v>
      </c>
      <c r="E49" s="1">
        <f t="shared" si="0"/>
        <v>1371805.9639871558</v>
      </c>
      <c r="F49" s="1"/>
      <c r="G49" s="1"/>
      <c r="H49" s="1"/>
      <c r="I49" s="1"/>
      <c r="J49" s="1"/>
      <c r="K49" s="1"/>
      <c r="L49" s="1"/>
    </row>
    <row r="50" spans="1:12" x14ac:dyDescent="0.2">
      <c r="A50" s="1">
        <v>0.1</v>
      </c>
      <c r="B50" s="1">
        <v>0</v>
      </c>
      <c r="C50" s="1">
        <v>2</v>
      </c>
      <c r="D50" s="1">
        <f t="shared" si="1"/>
        <v>1.4997485610085111</v>
      </c>
      <c r="E50" s="1">
        <f t="shared" si="0"/>
        <v>1499748.5610085111</v>
      </c>
      <c r="F50" s="1"/>
      <c r="G50" s="1"/>
      <c r="H50" s="1"/>
      <c r="I50" s="1"/>
      <c r="J50" s="1"/>
      <c r="K50" s="1"/>
      <c r="L50" s="1"/>
    </row>
    <row r="51" spans="1:12" x14ac:dyDescent="0.2">
      <c r="A51" s="1">
        <v>0.1</v>
      </c>
      <c r="B51" s="1">
        <v>0</v>
      </c>
      <c r="C51" s="1">
        <v>4</v>
      </c>
      <c r="D51" s="1">
        <f t="shared" si="1"/>
        <v>1.5897155912616319</v>
      </c>
      <c r="E51" s="1">
        <f t="shared" si="0"/>
        <v>1589715.5912616318</v>
      </c>
      <c r="F51" s="1"/>
      <c r="G51" s="1"/>
      <c r="H51" s="1"/>
      <c r="I51" s="1"/>
      <c r="J51" s="1"/>
      <c r="K51" s="1"/>
      <c r="L51" s="1"/>
    </row>
    <row r="52" spans="1:12" x14ac:dyDescent="0.2">
      <c r="A52" s="1">
        <v>0.1</v>
      </c>
      <c r="B52" s="1">
        <v>0</v>
      </c>
      <c r="C52" s="1">
        <v>8</v>
      </c>
      <c r="D52" s="1">
        <f t="shared" si="1"/>
        <v>1.6347961991416073</v>
      </c>
      <c r="E52" s="1">
        <f t="shared" si="0"/>
        <v>1634796.1991416074</v>
      </c>
    </row>
    <row r="53" spans="1:12" x14ac:dyDescent="0.2">
      <c r="A53" s="1">
        <v>0.1</v>
      </c>
      <c r="B53" s="1">
        <v>0</v>
      </c>
      <c r="C53" s="1">
        <v>16</v>
      </c>
      <c r="D53" s="1">
        <f t="shared" si="1"/>
        <v>1.6467304366873976</v>
      </c>
      <c r="E53" s="1">
        <f t="shared" si="0"/>
        <v>1646730.4366873975</v>
      </c>
    </row>
    <row r="54" spans="1:12" x14ac:dyDescent="0.2">
      <c r="A54" s="1">
        <v>0.1</v>
      </c>
      <c r="B54" s="1">
        <v>0</v>
      </c>
      <c r="C54" s="1">
        <v>32</v>
      </c>
      <c r="D54" s="1">
        <f t="shared" si="1"/>
        <v>1.6477302020798357</v>
      </c>
      <c r="E54" s="1">
        <f t="shared" si="0"/>
        <v>1647730.2020798356</v>
      </c>
    </row>
    <row r="55" spans="1:12" x14ac:dyDescent="0.2">
      <c r="A55" s="1">
        <v>0.1</v>
      </c>
      <c r="B55" s="1">
        <v>0</v>
      </c>
      <c r="C55" s="1">
        <v>64</v>
      </c>
      <c r="D55" s="1">
        <f t="shared" si="1"/>
        <v>1.6477302020798357</v>
      </c>
      <c r="E55" s="1">
        <f t="shared" si="0"/>
        <v>1647730.2020798356</v>
      </c>
    </row>
    <row r="56" spans="1:12" x14ac:dyDescent="0.2">
      <c r="A56" s="1">
        <v>0.1</v>
      </c>
      <c r="B56" s="1">
        <v>0</v>
      </c>
      <c r="C56" s="1">
        <v>128</v>
      </c>
      <c r="D56" s="1">
        <f t="shared" si="1"/>
        <v>1.6477302020798357</v>
      </c>
      <c r="E56" s="1">
        <f t="shared" si="0"/>
        <v>1647730.2020798356</v>
      </c>
    </row>
    <row r="57" spans="1:12" x14ac:dyDescent="0.2">
      <c r="A57" s="1">
        <v>0.1</v>
      </c>
      <c r="B57" s="1">
        <v>0</v>
      </c>
      <c r="C57" s="1">
        <v>256</v>
      </c>
      <c r="D57" s="1">
        <f t="shared" si="1"/>
        <v>1.6477302020798357</v>
      </c>
      <c r="E57" s="1">
        <f t="shared" si="0"/>
        <v>1647730.2020798356</v>
      </c>
    </row>
    <row r="58" spans="1:12" x14ac:dyDescent="0.2">
      <c r="A58" s="1">
        <v>0.1</v>
      </c>
      <c r="B58" s="1">
        <v>0</v>
      </c>
      <c r="C58" s="1">
        <v>512</v>
      </c>
      <c r="D58" s="1">
        <f t="shared" si="1"/>
        <v>1.6477302020798357</v>
      </c>
      <c r="E58" s="1">
        <f t="shared" si="0"/>
        <v>1647730.2020798356</v>
      </c>
    </row>
    <row r="59" spans="1:12" x14ac:dyDescent="0.2">
      <c r="A59" s="1">
        <v>0.1</v>
      </c>
      <c r="B59" s="1">
        <v>0</v>
      </c>
      <c r="C59" s="1">
        <v>1024</v>
      </c>
      <c r="D59" s="1">
        <f t="shared" si="1"/>
        <v>1.6477302020798357</v>
      </c>
      <c r="E59" s="1">
        <f t="shared" si="0"/>
        <v>1647730.2020798356</v>
      </c>
    </row>
    <row r="60" spans="1:12" x14ac:dyDescent="0.2">
      <c r="A60" s="1"/>
      <c r="B60" s="1"/>
    </row>
    <row r="61" spans="1:12" x14ac:dyDescent="0.2">
      <c r="A61" s="6"/>
      <c r="B61" s="6"/>
    </row>
    <row r="62" spans="1:12" x14ac:dyDescent="0.2">
      <c r="A62" s="5" t="s">
        <v>67</v>
      </c>
    </row>
    <row r="63" spans="1:12" x14ac:dyDescent="0.2">
      <c r="A63" s="1" t="s">
        <v>68</v>
      </c>
      <c r="B63" s="1">
        <v>1</v>
      </c>
    </row>
    <row r="64" spans="1:12" x14ac:dyDescent="0.2">
      <c r="A64" s="1" t="s">
        <v>69</v>
      </c>
      <c r="B64" s="1">
        <v>0.25</v>
      </c>
    </row>
    <row r="65" spans="1:12" x14ac:dyDescent="0.2">
      <c r="A65" s="1" t="s">
        <v>70</v>
      </c>
      <c r="B65" s="1">
        <v>0.2</v>
      </c>
    </row>
    <row r="66" spans="1:12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 x14ac:dyDescent="0.2">
      <c r="A67" s="1"/>
      <c r="B67" s="1"/>
      <c r="C67" s="1"/>
      <c r="D67" s="1"/>
      <c r="E67" s="1"/>
      <c r="F67" s="1"/>
      <c r="G67" s="7" t="s">
        <v>71</v>
      </c>
      <c r="H67" s="1"/>
      <c r="I67" s="1"/>
      <c r="J67" s="1"/>
      <c r="K67" s="1"/>
      <c r="L67" s="1"/>
    </row>
    <row r="68" spans="1:12" x14ac:dyDescent="0.2">
      <c r="A68" s="1"/>
      <c r="B68" s="1">
        <v>-1</v>
      </c>
      <c r="C68" s="1">
        <f t="shared" ref="C68:L68" si="2">B68+$B$65</f>
        <v>-0.8</v>
      </c>
      <c r="D68" s="1">
        <f t="shared" si="2"/>
        <v>-0.60000000000000009</v>
      </c>
      <c r="E68" s="1">
        <f t="shared" si="2"/>
        <v>-0.40000000000000008</v>
      </c>
      <c r="F68" s="1">
        <f t="shared" si="2"/>
        <v>-0.20000000000000007</v>
      </c>
      <c r="G68" s="1">
        <f t="shared" si="2"/>
        <v>0</v>
      </c>
      <c r="H68" s="1">
        <f t="shared" si="2"/>
        <v>0.2</v>
      </c>
      <c r="I68" s="1">
        <f t="shared" si="2"/>
        <v>0.4</v>
      </c>
      <c r="J68" s="1">
        <f t="shared" si="2"/>
        <v>0.60000000000000009</v>
      </c>
      <c r="K68" s="1">
        <f t="shared" si="2"/>
        <v>0.8</v>
      </c>
      <c r="L68" s="1">
        <f t="shared" si="2"/>
        <v>1</v>
      </c>
    </row>
    <row r="69" spans="1:12" x14ac:dyDescent="0.2">
      <c r="A69" s="8">
        <v>-1.0001</v>
      </c>
      <c r="B69" s="9">
        <f>$B$34*EXP($A69/$B$35)*LEAKY((($A69^2+$B$38*B$68^2)/(4*$B$36*$B$63)),SQRT($A69^2+$B$38*B$68^2)/$B$35)/(4*PI()*SQRT($B$39))/(100^3)</f>
        <v>2.4218255185598225E-3</v>
      </c>
      <c r="C69" s="10">
        <f t="shared" ref="B69:L78" si="3">$B$34*EXP($A69/$B$35)*LEAKY((($A69^2+$B$38*C$68^2)/(4*$B$36*$B$63)),SQRT($A69^2+$B$38*C$68^2)/$B$35)/(4*PI()*SQRT($B$39))/(100^3)</f>
        <v>7.9095405235118758E-3</v>
      </c>
      <c r="D69" s="10">
        <f t="shared" si="3"/>
        <v>2.2386680183613724E-2</v>
      </c>
      <c r="E69" s="10">
        <f t="shared" si="3"/>
        <v>5.3679435292550849E-2</v>
      </c>
      <c r="F69" s="10">
        <f t="shared" si="3"/>
        <v>0.10607508963593892</v>
      </c>
      <c r="G69" s="10">
        <f t="shared" si="3"/>
        <v>0.14101227233467192</v>
      </c>
      <c r="H69" s="10">
        <f t="shared" si="3"/>
        <v>0.10607508963593894</v>
      </c>
      <c r="I69" s="10">
        <f t="shared" si="3"/>
        <v>5.3679435292550919E-2</v>
      </c>
      <c r="J69" s="10">
        <f t="shared" si="3"/>
        <v>2.2386680183613724E-2</v>
      </c>
      <c r="K69" s="10">
        <f t="shared" si="3"/>
        <v>7.9095405235118758E-3</v>
      </c>
      <c r="L69" s="11">
        <f t="shared" si="3"/>
        <v>2.4218255185598225E-3</v>
      </c>
    </row>
    <row r="70" spans="1:12" x14ac:dyDescent="0.2">
      <c r="A70" s="8">
        <f t="shared" ref="A70:A98" si="4">A69+$B$64</f>
        <v>-0.75009999999999999</v>
      </c>
      <c r="B70" s="12">
        <f t="shared" si="3"/>
        <v>3.1498043425257668E-3</v>
      </c>
      <c r="C70">
        <f t="shared" si="3"/>
        <v>1.0449462693475173E-2</v>
      </c>
      <c r="D70">
        <f t="shared" si="3"/>
        <v>3.0343642648279042E-2</v>
      </c>
      <c r="E70">
        <f t="shared" si="3"/>
        <v>7.6457528721557921E-2</v>
      </c>
      <c r="F70">
        <f t="shared" si="3"/>
        <v>0.16456511124579243</v>
      </c>
      <c r="G70">
        <f t="shared" si="3"/>
        <v>0.23652449485781196</v>
      </c>
      <c r="H70">
        <f t="shared" si="3"/>
        <v>0.16456511124579243</v>
      </c>
      <c r="I70">
        <f t="shared" si="3"/>
        <v>7.6457528721557991E-2</v>
      </c>
      <c r="J70">
        <f t="shared" si="3"/>
        <v>3.0343642648279042E-2</v>
      </c>
      <c r="K70">
        <f t="shared" si="3"/>
        <v>1.0449462693475173E-2</v>
      </c>
      <c r="L70" s="13">
        <f t="shared" si="3"/>
        <v>3.1498043425257668E-3</v>
      </c>
    </row>
    <row r="71" spans="1:12" s="2" customFormat="1" x14ac:dyDescent="0.2">
      <c r="A71" s="8">
        <f t="shared" si="4"/>
        <v>-0.50009999999999999</v>
      </c>
      <c r="B71" s="12">
        <f t="shared" si="3"/>
        <v>3.9418561216170971E-3</v>
      </c>
      <c r="C71">
        <f t="shared" si="3"/>
        <v>1.323528907005884E-2</v>
      </c>
      <c r="D71">
        <f t="shared" si="3"/>
        <v>3.8482996758147252E-2</v>
      </c>
      <c r="E71">
        <f t="shared" si="3"/>
        <v>0.10323437148469015</v>
      </c>
      <c r="F71">
        <f t="shared" si="3"/>
        <v>0.24515217600961542</v>
      </c>
      <c r="G71">
        <f t="shared" si="3"/>
        <v>0.40567527732880809</v>
      </c>
      <c r="H71">
        <f t="shared" si="3"/>
        <v>0.24515217600961547</v>
      </c>
      <c r="I71">
        <f t="shared" si="3"/>
        <v>0.10323437148469021</v>
      </c>
      <c r="J71">
        <f t="shared" si="3"/>
        <v>3.8482996758147252E-2</v>
      </c>
      <c r="K71">
        <f t="shared" si="3"/>
        <v>1.323528907005884E-2</v>
      </c>
      <c r="L71" s="13">
        <f t="shared" si="3"/>
        <v>3.9418561216170971E-3</v>
      </c>
    </row>
    <row r="72" spans="1:12" s="2" customFormat="1" ht="16" thickBot="1" x14ac:dyDescent="0.25">
      <c r="A72" s="8">
        <f t="shared" si="4"/>
        <v>-0.25009999999999999</v>
      </c>
      <c r="B72" s="12">
        <f t="shared" si="3"/>
        <v>4.7427060095107804E-3</v>
      </c>
      <c r="C72">
        <f t="shared" si="3"/>
        <v>1.6045516946458328E-2</v>
      </c>
      <c r="D72">
        <f t="shared" si="3"/>
        <v>4.7347156038178913E-2</v>
      </c>
      <c r="E72">
        <f t="shared" si="3"/>
        <v>0.1307591557329679</v>
      </c>
      <c r="F72">
        <f t="shared" si="3"/>
        <v>0.33988366961912425</v>
      </c>
      <c r="G72">
        <f t="shared" si="3"/>
        <v>0.75029693712353707</v>
      </c>
      <c r="H72">
        <f t="shared" si="3"/>
        <v>0.33988366961912414</v>
      </c>
      <c r="I72">
        <f t="shared" si="3"/>
        <v>0.13075915573296795</v>
      </c>
      <c r="J72">
        <f t="shared" si="3"/>
        <v>4.7347156038178913E-2</v>
      </c>
      <c r="K72">
        <f t="shared" si="3"/>
        <v>1.6045516946458328E-2</v>
      </c>
      <c r="L72" s="13">
        <f t="shared" si="3"/>
        <v>4.7427060095107804E-3</v>
      </c>
    </row>
    <row r="73" spans="1:12" ht="16" thickBot="1" x14ac:dyDescent="0.25">
      <c r="A73" s="8">
        <f t="shared" si="4"/>
        <v>-9.9999999999988987E-5</v>
      </c>
      <c r="B73" s="12">
        <f t="shared" si="3"/>
        <v>5.4830759559554099E-3</v>
      </c>
      <c r="C73">
        <f t="shared" si="3"/>
        <v>1.8598558345379088E-2</v>
      </c>
      <c r="D73">
        <f t="shared" si="3"/>
        <v>5.5163900823176751E-2</v>
      </c>
      <c r="E73">
        <f t="shared" si="3"/>
        <v>0.15396534643191517</v>
      </c>
      <c r="F73">
        <f t="shared" si="3"/>
        <v>0.41632907440389738</v>
      </c>
      <c r="G73" s="14">
        <f t="shared" si="3"/>
        <v>4.7796629956557064</v>
      </c>
      <c r="H73">
        <f t="shared" si="3"/>
        <v>0.41632907440389738</v>
      </c>
      <c r="I73">
        <f t="shared" si="3"/>
        <v>0.15396534643191523</v>
      </c>
      <c r="J73">
        <f t="shared" si="3"/>
        <v>5.5163900823176751E-2</v>
      </c>
      <c r="K73">
        <f t="shared" si="3"/>
        <v>1.8598558345379088E-2</v>
      </c>
      <c r="L73" s="13">
        <f t="shared" si="3"/>
        <v>5.4830759559554099E-3</v>
      </c>
    </row>
    <row r="74" spans="1:12" x14ac:dyDescent="0.2">
      <c r="A74" s="8">
        <f t="shared" si="4"/>
        <v>0.24990000000000001</v>
      </c>
      <c r="B74" s="12">
        <f t="shared" si="3"/>
        <v>6.0899501949772759E-3</v>
      </c>
      <c r="C74">
        <f t="shared" si="3"/>
        <v>2.0603596725688317E-2</v>
      </c>
      <c r="D74">
        <f t="shared" si="3"/>
        <v>6.0797645202802952E-2</v>
      </c>
      <c r="E74">
        <f t="shared" si="3"/>
        <v>0.16790829122210346</v>
      </c>
      <c r="F74">
        <f t="shared" si="3"/>
        <v>0.4364713312329595</v>
      </c>
      <c r="G74">
        <f t="shared" si="3"/>
        <v>0.96384327427293226</v>
      </c>
      <c r="H74">
        <f t="shared" si="3"/>
        <v>0.43647133123295984</v>
      </c>
      <c r="I74">
        <f t="shared" si="3"/>
        <v>0.16790829122210346</v>
      </c>
      <c r="J74">
        <f t="shared" si="3"/>
        <v>6.0797645202802952E-2</v>
      </c>
      <c r="K74">
        <f t="shared" si="3"/>
        <v>2.0603596725688317E-2</v>
      </c>
      <c r="L74" s="13">
        <f t="shared" si="3"/>
        <v>6.0899501949772759E-3</v>
      </c>
    </row>
    <row r="75" spans="1:12" x14ac:dyDescent="0.2">
      <c r="A75" s="8">
        <f t="shared" si="4"/>
        <v>0.49990000000000001</v>
      </c>
      <c r="B75" s="12">
        <f t="shared" si="3"/>
        <v>6.4994366118199297E-3</v>
      </c>
      <c r="C75">
        <f t="shared" si="3"/>
        <v>2.1822867815962665E-2</v>
      </c>
      <c r="D75">
        <f t="shared" si="3"/>
        <v>6.3453250042312115E-2</v>
      </c>
      <c r="E75">
        <f t="shared" si="3"/>
        <v>0.17022445490419541</v>
      </c>
      <c r="F75">
        <f t="shared" si="3"/>
        <v>0.40426680293783102</v>
      </c>
      <c r="G75">
        <f t="shared" si="3"/>
        <v>0.6690795638540592</v>
      </c>
      <c r="H75">
        <f t="shared" si="3"/>
        <v>0.40426680293783113</v>
      </c>
      <c r="I75">
        <f t="shared" si="3"/>
        <v>0.1702244549041951</v>
      </c>
      <c r="J75">
        <f t="shared" si="3"/>
        <v>6.3453250042312115E-2</v>
      </c>
      <c r="K75">
        <f t="shared" si="3"/>
        <v>2.1822867815962665E-2</v>
      </c>
      <c r="L75" s="13">
        <f t="shared" si="3"/>
        <v>6.4994366118199297E-3</v>
      </c>
    </row>
    <row r="76" spans="1:12" x14ac:dyDescent="0.2">
      <c r="A76" s="8">
        <f t="shared" si="4"/>
        <v>0.74990000000000001</v>
      </c>
      <c r="B76" s="12">
        <f t="shared" si="3"/>
        <v>6.6687691512144244E-3</v>
      </c>
      <c r="C76">
        <f t="shared" si="3"/>
        <v>2.2123861284043918E-2</v>
      </c>
      <c r="D76">
        <f t="shared" si="3"/>
        <v>6.4245520036616155E-2</v>
      </c>
      <c r="E76">
        <f t="shared" si="3"/>
        <v>0.16188696202004199</v>
      </c>
      <c r="F76">
        <f t="shared" si="3"/>
        <v>0.34846717400368971</v>
      </c>
      <c r="G76">
        <f t="shared" si="3"/>
        <v>0.50088215275433468</v>
      </c>
      <c r="H76">
        <f t="shared" si="3"/>
        <v>0.34846717400368998</v>
      </c>
      <c r="I76">
        <f t="shared" si="3"/>
        <v>0.16188696202004199</v>
      </c>
      <c r="J76">
        <f t="shared" si="3"/>
        <v>6.4245520036616155E-2</v>
      </c>
      <c r="K76">
        <f t="shared" si="3"/>
        <v>2.2123861284043918E-2</v>
      </c>
      <c r="L76" s="13">
        <f t="shared" si="3"/>
        <v>6.6687691512144244E-3</v>
      </c>
    </row>
    <row r="77" spans="1:12" x14ac:dyDescent="0.2">
      <c r="A77" s="8">
        <f t="shared" si="4"/>
        <v>0.99990000000000001</v>
      </c>
      <c r="B77" s="12">
        <f t="shared" si="3"/>
        <v>6.5840296868660414E-3</v>
      </c>
      <c r="C77">
        <f t="shared" si="3"/>
        <v>2.1503351447132002E-2</v>
      </c>
      <c r="D77">
        <f t="shared" si="3"/>
        <v>6.0863106404288179E-2</v>
      </c>
      <c r="E77">
        <f t="shared" si="3"/>
        <v>0.14594527597874873</v>
      </c>
      <c r="F77">
        <f t="shared" si="3"/>
        <v>0.28841791836698949</v>
      </c>
      <c r="G77">
        <f t="shared" si="3"/>
        <v>0.38343024328890168</v>
      </c>
      <c r="H77">
        <f t="shared" si="3"/>
        <v>0.28841791836698955</v>
      </c>
      <c r="I77">
        <f t="shared" si="3"/>
        <v>0.14594527597874873</v>
      </c>
      <c r="J77">
        <f t="shared" si="3"/>
        <v>6.0863106404288179E-2</v>
      </c>
      <c r="K77">
        <f t="shared" si="3"/>
        <v>2.1503351447132002E-2</v>
      </c>
      <c r="L77" s="13">
        <f t="shared" si="3"/>
        <v>6.5840296868660414E-3</v>
      </c>
    </row>
    <row r="78" spans="1:12" x14ac:dyDescent="0.2">
      <c r="A78" s="8">
        <f t="shared" si="4"/>
        <v>1.2499</v>
      </c>
      <c r="B78" s="12">
        <f t="shared" si="3"/>
        <v>6.2615727303888509E-3</v>
      </c>
      <c r="C78">
        <f t="shared" si="3"/>
        <v>2.007770166724767E-2</v>
      </c>
      <c r="D78">
        <f t="shared" si="3"/>
        <v>5.5231264834640206E-2</v>
      </c>
      <c r="E78">
        <f t="shared" si="3"/>
        <v>0.12586985619307547</v>
      </c>
      <c r="F78">
        <f t="shared" si="3"/>
        <v>0.23223831717282548</v>
      </c>
      <c r="G78">
        <f t="shared" si="3"/>
        <v>0.29448091792412529</v>
      </c>
      <c r="H78">
        <f t="shared" si="3"/>
        <v>0.23223831717282553</v>
      </c>
      <c r="I78">
        <f t="shared" si="3"/>
        <v>0.12586985619307553</v>
      </c>
      <c r="J78">
        <f t="shared" si="3"/>
        <v>5.5231264834640206E-2</v>
      </c>
      <c r="K78">
        <f t="shared" si="3"/>
        <v>2.007770166724767E-2</v>
      </c>
      <c r="L78" s="13">
        <f t="shared" si="3"/>
        <v>6.2615727303888509E-3</v>
      </c>
    </row>
    <row r="79" spans="1:12" x14ac:dyDescent="0.2">
      <c r="A79" s="8">
        <f t="shared" si="4"/>
        <v>1.4999</v>
      </c>
      <c r="B79" s="12">
        <f t="shared" ref="B79:L88" si="5">$B$34*EXP($A79/$B$35)*LEAKY((($A79^2+$B$38*B$68^2)/(4*$B$36*$B$63)),SQRT($A79^2+$B$38*B$68^2)/$B$35)/(4*PI()*SQRT($B$39))/(100^3)</f>
        <v>5.743230413789868E-3</v>
      </c>
      <c r="C79">
        <f t="shared" si="5"/>
        <v>1.804732319552696E-2</v>
      </c>
      <c r="D79">
        <f t="shared" si="5"/>
        <v>4.8200157900845579E-2</v>
      </c>
      <c r="E79">
        <f t="shared" si="5"/>
        <v>0.10462581626253949</v>
      </c>
      <c r="F79">
        <f t="shared" si="5"/>
        <v>0.18275655641878485</v>
      </c>
      <c r="G79">
        <f t="shared" si="5"/>
        <v>0.22471810732590491</v>
      </c>
      <c r="H79">
        <f t="shared" si="5"/>
        <v>0.18275655641878499</v>
      </c>
      <c r="I79">
        <f t="shared" si="5"/>
        <v>0.10462581626253961</v>
      </c>
      <c r="J79">
        <f t="shared" si="5"/>
        <v>4.8200157900845579E-2</v>
      </c>
      <c r="K79">
        <f t="shared" si="5"/>
        <v>1.804732319552696E-2</v>
      </c>
      <c r="L79" s="13">
        <f t="shared" si="5"/>
        <v>5.743230413789868E-3</v>
      </c>
    </row>
    <row r="80" spans="1:12" x14ac:dyDescent="0.2">
      <c r="A80" s="8">
        <f t="shared" si="4"/>
        <v>1.7499</v>
      </c>
      <c r="B80" s="12">
        <f t="shared" si="5"/>
        <v>5.087193724077922E-3</v>
      </c>
      <c r="C80">
        <f t="shared" si="5"/>
        <v>1.5650236804033761E-2</v>
      </c>
      <c r="D80">
        <f t="shared" si="5"/>
        <v>4.0591812124996476E-2</v>
      </c>
      <c r="E80">
        <f t="shared" si="5"/>
        <v>8.6364927439447098E-2</v>
      </c>
      <c r="F80">
        <f t="shared" si="5"/>
        <v>0.14078499270551031</v>
      </c>
      <c r="G80">
        <f t="shared" si="5"/>
        <v>0.16942223007785229</v>
      </c>
      <c r="H80">
        <f t="shared" si="5"/>
        <v>0.14078499270551031</v>
      </c>
      <c r="I80">
        <f t="shared" si="5"/>
        <v>8.6364927439447098E-2</v>
      </c>
      <c r="J80">
        <f t="shared" si="5"/>
        <v>4.0591812124996476E-2</v>
      </c>
      <c r="K80">
        <f t="shared" si="5"/>
        <v>1.5650236804033761E-2</v>
      </c>
      <c r="L80" s="13">
        <f t="shared" si="5"/>
        <v>5.087193724077922E-3</v>
      </c>
    </row>
    <row r="81" spans="1:12" x14ac:dyDescent="0.2">
      <c r="A81" s="8">
        <f t="shared" si="4"/>
        <v>1.9999</v>
      </c>
      <c r="B81" s="12">
        <f t="shared" si="5"/>
        <v>4.3573383849544924E-3</v>
      </c>
      <c r="C81">
        <f t="shared" si="5"/>
        <v>1.3118927842975097E-2</v>
      </c>
      <c r="D81">
        <f t="shared" si="5"/>
        <v>3.3081765296513931E-2</v>
      </c>
      <c r="E81">
        <f t="shared" si="5"/>
        <v>6.7979177743727678E-2</v>
      </c>
      <c r="F81">
        <f t="shared" si="5"/>
        <v>0.10883471711530616</v>
      </c>
      <c r="G81">
        <f t="shared" si="5"/>
        <v>0.12593156485847823</v>
      </c>
      <c r="H81">
        <f t="shared" si="5"/>
        <v>0.10883471711530616</v>
      </c>
      <c r="I81">
        <f t="shared" si="5"/>
        <v>6.7979177743727678E-2</v>
      </c>
      <c r="J81">
        <f t="shared" si="5"/>
        <v>3.3081765296513931E-2</v>
      </c>
      <c r="K81">
        <f t="shared" si="5"/>
        <v>1.3118927842975097E-2</v>
      </c>
      <c r="L81" s="13">
        <f t="shared" si="5"/>
        <v>4.3573383849544924E-3</v>
      </c>
    </row>
    <row r="82" spans="1:12" x14ac:dyDescent="0.2">
      <c r="A82" s="8">
        <f t="shared" si="4"/>
        <v>2.2499000000000002</v>
      </c>
      <c r="B82" s="12">
        <f t="shared" si="5"/>
        <v>3.6135870261085868E-3</v>
      </c>
      <c r="C82">
        <f t="shared" si="5"/>
        <v>1.0649282029567643E-2</v>
      </c>
      <c r="D82">
        <f t="shared" si="5"/>
        <v>2.6150877955112183E-2</v>
      </c>
      <c r="E82">
        <f t="shared" si="5"/>
        <v>5.2122786718246585E-2</v>
      </c>
      <c r="F82">
        <f t="shared" si="5"/>
        <v>8.1155464371060096E-2</v>
      </c>
      <c r="G82">
        <f t="shared" si="5"/>
        <v>9.4679071368062584E-2</v>
      </c>
      <c r="H82">
        <f t="shared" si="5"/>
        <v>8.1155464371060096E-2</v>
      </c>
      <c r="I82">
        <f t="shared" si="5"/>
        <v>5.2122786718246585E-2</v>
      </c>
      <c r="J82">
        <f t="shared" si="5"/>
        <v>2.6150877955112183E-2</v>
      </c>
      <c r="K82">
        <f t="shared" si="5"/>
        <v>1.0649282029567643E-2</v>
      </c>
      <c r="L82" s="13">
        <f t="shared" si="5"/>
        <v>3.6135870261085868E-3</v>
      </c>
    </row>
    <row r="83" spans="1:12" x14ac:dyDescent="0.2">
      <c r="A83" s="8">
        <f t="shared" si="4"/>
        <v>2.4999000000000002</v>
      </c>
      <c r="B83" s="12">
        <f t="shared" si="5"/>
        <v>3.3154000050871391E-3</v>
      </c>
      <c r="C83">
        <f t="shared" si="5"/>
        <v>8.384314987895599E-3</v>
      </c>
      <c r="D83">
        <f t="shared" si="5"/>
        <v>2.0086717933478913E-2</v>
      </c>
      <c r="E83">
        <f t="shared" si="5"/>
        <v>3.8982270715768173E-2</v>
      </c>
      <c r="F83">
        <f t="shared" si="5"/>
        <v>5.9329215378991731E-2</v>
      </c>
      <c r="G83">
        <f t="shared" si="5"/>
        <v>6.8570669221941188E-2</v>
      </c>
      <c r="H83">
        <f t="shared" si="5"/>
        <v>5.9329215378991731E-2</v>
      </c>
      <c r="I83">
        <f t="shared" si="5"/>
        <v>3.8982270715768173E-2</v>
      </c>
      <c r="J83">
        <f t="shared" si="5"/>
        <v>2.0086717933478913E-2</v>
      </c>
      <c r="K83">
        <f t="shared" si="5"/>
        <v>8.384314987895599E-3</v>
      </c>
      <c r="L83" s="13">
        <f t="shared" si="5"/>
        <v>3.3154000050871391E-3</v>
      </c>
    </row>
    <row r="84" spans="1:12" x14ac:dyDescent="0.2">
      <c r="A84" s="8">
        <f t="shared" si="4"/>
        <v>2.7499000000000002</v>
      </c>
      <c r="B84" s="12">
        <f t="shared" si="5"/>
        <v>2.5506947418129007E-3</v>
      </c>
      <c r="C84">
        <f t="shared" si="5"/>
        <v>6.4110174923785969E-3</v>
      </c>
      <c r="D84">
        <f t="shared" si="5"/>
        <v>1.5012986648752738E-2</v>
      </c>
      <c r="E84">
        <f t="shared" si="5"/>
        <v>2.8462967001002315E-2</v>
      </c>
      <c r="F84">
        <f t="shared" si="5"/>
        <v>4.2508840294753512E-2</v>
      </c>
      <c r="G84">
        <f t="shared" si="5"/>
        <v>4.8763779434956307E-2</v>
      </c>
      <c r="H84">
        <f t="shared" si="5"/>
        <v>4.2508840294753512E-2</v>
      </c>
      <c r="I84">
        <f t="shared" si="5"/>
        <v>2.8462967001002315E-2</v>
      </c>
      <c r="J84">
        <f t="shared" si="5"/>
        <v>1.5012986648752738E-2</v>
      </c>
      <c r="K84">
        <f t="shared" si="5"/>
        <v>6.4110174923785969E-3</v>
      </c>
      <c r="L84" s="13">
        <f t="shared" si="5"/>
        <v>2.5506947418129007E-3</v>
      </c>
    </row>
    <row r="85" spans="1:12" x14ac:dyDescent="0.2">
      <c r="A85" s="8">
        <f t="shared" si="4"/>
        <v>2.9999000000000002</v>
      </c>
      <c r="B85" s="12">
        <f t="shared" si="5"/>
        <v>1.9001271215195704E-3</v>
      </c>
      <c r="C85">
        <f t="shared" si="5"/>
        <v>4.7664754954719075E-3</v>
      </c>
      <c r="D85">
        <f t="shared" si="5"/>
        <v>1.0930515032910548E-2</v>
      </c>
      <c r="E85">
        <f t="shared" si="5"/>
        <v>2.0301839626725569E-2</v>
      </c>
      <c r="F85">
        <f t="shared" si="5"/>
        <v>2.9842332190660861E-2</v>
      </c>
      <c r="G85">
        <f t="shared" si="5"/>
        <v>3.4024482137157461E-2</v>
      </c>
      <c r="H85">
        <f t="shared" si="5"/>
        <v>2.9842332190660861E-2</v>
      </c>
      <c r="I85">
        <f t="shared" si="5"/>
        <v>2.030183962672559E-2</v>
      </c>
      <c r="J85">
        <f t="shared" si="5"/>
        <v>1.0930515032910548E-2</v>
      </c>
      <c r="K85">
        <f t="shared" si="5"/>
        <v>4.7664754954719075E-3</v>
      </c>
      <c r="L85" s="13">
        <f t="shared" si="5"/>
        <v>1.9001271215195704E-3</v>
      </c>
    </row>
    <row r="86" spans="1:12" x14ac:dyDescent="0.2">
      <c r="A86" s="8">
        <f t="shared" si="4"/>
        <v>3.2499000000000002</v>
      </c>
      <c r="B86" s="12">
        <f t="shared" si="5"/>
        <v>1.3712839948478682E-3</v>
      </c>
      <c r="C86">
        <f t="shared" si="5"/>
        <v>3.9074039110964884E-3</v>
      </c>
      <c r="D86">
        <f t="shared" si="5"/>
        <v>7.75904627585371E-3</v>
      </c>
      <c r="E86">
        <f t="shared" si="5"/>
        <v>1.4152318055964435E-2</v>
      </c>
      <c r="F86">
        <f t="shared" si="5"/>
        <v>2.052300642346511E-2</v>
      </c>
      <c r="G86">
        <f t="shared" si="5"/>
        <v>2.3279976033479359E-2</v>
      </c>
      <c r="H86">
        <f t="shared" si="5"/>
        <v>2.052300642346511E-2</v>
      </c>
      <c r="I86">
        <f t="shared" si="5"/>
        <v>1.4152318055964435E-2</v>
      </c>
      <c r="J86">
        <f t="shared" si="5"/>
        <v>7.75904627585371E-3</v>
      </c>
      <c r="K86">
        <f t="shared" si="5"/>
        <v>3.9074039110964884E-3</v>
      </c>
      <c r="L86" s="13">
        <f t="shared" si="5"/>
        <v>1.3712839948478682E-3</v>
      </c>
    </row>
    <row r="87" spans="1:12" x14ac:dyDescent="0.2">
      <c r="A87" s="8">
        <f t="shared" si="4"/>
        <v>3.4999000000000002</v>
      </c>
      <c r="B87" s="12">
        <f t="shared" si="5"/>
        <v>9.5911682209374322E-4</v>
      </c>
      <c r="C87">
        <f t="shared" si="5"/>
        <v>2.701126252291347E-3</v>
      </c>
      <c r="D87">
        <f t="shared" si="5"/>
        <v>5.373640919954804E-3</v>
      </c>
      <c r="E87">
        <f t="shared" si="5"/>
        <v>9.6449963860495824E-3</v>
      </c>
      <c r="F87">
        <f t="shared" si="5"/>
        <v>1.3824236650532947E-2</v>
      </c>
      <c r="G87">
        <f t="shared" si="5"/>
        <v>1.5613626442194791E-2</v>
      </c>
      <c r="H87">
        <f t="shared" si="5"/>
        <v>1.3824236650532947E-2</v>
      </c>
      <c r="I87">
        <f t="shared" si="5"/>
        <v>9.6449963860495893E-3</v>
      </c>
      <c r="J87">
        <f t="shared" si="5"/>
        <v>5.373640919954804E-3</v>
      </c>
      <c r="K87">
        <f t="shared" si="5"/>
        <v>2.701126252291347E-3</v>
      </c>
      <c r="L87" s="13">
        <f t="shared" si="5"/>
        <v>9.5911682209374322E-4</v>
      </c>
    </row>
    <row r="88" spans="1:12" x14ac:dyDescent="0.2">
      <c r="A88" s="8">
        <f t="shared" si="4"/>
        <v>3.7499000000000002</v>
      </c>
      <c r="B88" s="12">
        <f t="shared" si="5"/>
        <v>6.5036681484074738E-4</v>
      </c>
      <c r="C88">
        <f t="shared" si="5"/>
        <v>1.812156886223996E-3</v>
      </c>
      <c r="D88">
        <f t="shared" si="5"/>
        <v>4.0840753946148785E-3</v>
      </c>
      <c r="E88">
        <f t="shared" si="5"/>
        <v>6.4278701131493957E-3</v>
      </c>
      <c r="F88">
        <f t="shared" si="5"/>
        <v>9.1198595048425195E-3</v>
      </c>
      <c r="G88">
        <f t="shared" si="5"/>
        <v>1.0262121420316296E-2</v>
      </c>
      <c r="H88">
        <f t="shared" si="5"/>
        <v>9.1198595048425195E-3</v>
      </c>
      <c r="I88">
        <f t="shared" si="5"/>
        <v>6.4278701131493957E-3</v>
      </c>
      <c r="J88">
        <f t="shared" si="5"/>
        <v>4.0840753946148785E-3</v>
      </c>
      <c r="K88">
        <f t="shared" si="5"/>
        <v>1.812156886223996E-3</v>
      </c>
      <c r="L88" s="13">
        <f t="shared" si="5"/>
        <v>6.5036681484074738E-4</v>
      </c>
    </row>
    <row r="89" spans="1:12" x14ac:dyDescent="0.2">
      <c r="A89" s="8">
        <f t="shared" si="4"/>
        <v>3.9999000000000002</v>
      </c>
      <c r="B89" s="12">
        <f t="shared" ref="B89:L98" si="6">$B$34*EXP($A89/$B$35)*LEAKY((($A89^2+$B$38*B$68^2)/(4*$B$36*$B$63)),SQRT($A89^2+$B$38*B$68^2)/$B$35)/(4*PI()*SQRT($B$39))/(100^3)</f>
        <v>4.2766239505415116E-4</v>
      </c>
      <c r="C89">
        <f t="shared" si="6"/>
        <v>1.1801165131142335E-3</v>
      </c>
      <c r="D89">
        <f t="shared" si="6"/>
        <v>2.633138969896968E-3</v>
      </c>
      <c r="E89">
        <f t="shared" si="6"/>
        <v>4.7135340812280201E-3</v>
      </c>
      <c r="F89">
        <f t="shared" si="6"/>
        <v>6.7139505925729731E-3</v>
      </c>
      <c r="G89">
        <f t="shared" si="6"/>
        <v>6.6083545397278331E-3</v>
      </c>
      <c r="H89">
        <f t="shared" si="6"/>
        <v>6.7139505925729731E-3</v>
      </c>
      <c r="I89">
        <f t="shared" si="6"/>
        <v>4.7135340812280201E-3</v>
      </c>
      <c r="J89">
        <f t="shared" si="6"/>
        <v>2.633138969896968E-3</v>
      </c>
      <c r="K89">
        <f t="shared" si="6"/>
        <v>1.1801165131142335E-3</v>
      </c>
      <c r="L89" s="13">
        <f t="shared" si="6"/>
        <v>4.2766239505415116E-4</v>
      </c>
    </row>
    <row r="90" spans="1:12" x14ac:dyDescent="0.2">
      <c r="A90" s="8">
        <f t="shared" si="4"/>
        <v>4.2499000000000002</v>
      </c>
      <c r="B90" s="12">
        <f t="shared" si="6"/>
        <v>2.7276401760091817E-4</v>
      </c>
      <c r="C90">
        <f t="shared" si="6"/>
        <v>7.4608285905219853E-4</v>
      </c>
      <c r="D90">
        <f t="shared" si="6"/>
        <v>1.6499830333551329E-3</v>
      </c>
      <c r="E90">
        <f t="shared" si="6"/>
        <v>2.9303650093689096E-3</v>
      </c>
      <c r="F90">
        <f t="shared" si="6"/>
        <v>4.1508376084226778E-3</v>
      </c>
      <c r="G90">
        <f t="shared" si="6"/>
        <v>4.6647710043950961E-3</v>
      </c>
      <c r="H90">
        <f t="shared" si="6"/>
        <v>4.1508376084226778E-3</v>
      </c>
      <c r="I90">
        <f t="shared" si="6"/>
        <v>2.9303650093689096E-3</v>
      </c>
      <c r="J90">
        <f t="shared" si="6"/>
        <v>1.6499830333551329E-3</v>
      </c>
      <c r="K90">
        <f t="shared" si="6"/>
        <v>7.4608285905219853E-4</v>
      </c>
      <c r="L90" s="13">
        <f t="shared" si="6"/>
        <v>2.7276401760091817E-4</v>
      </c>
    </row>
    <row r="91" spans="1:12" x14ac:dyDescent="0.2">
      <c r="A91" s="8">
        <f t="shared" si="4"/>
        <v>4.4999000000000002</v>
      </c>
      <c r="B91" s="12">
        <f t="shared" si="6"/>
        <v>1.687651254755434E-4</v>
      </c>
      <c r="C91">
        <f t="shared" si="6"/>
        <v>4.5794686539199524E-4</v>
      </c>
      <c r="D91">
        <f t="shared" si="6"/>
        <v>1.0048054823257912E-3</v>
      </c>
      <c r="E91">
        <f t="shared" si="6"/>
        <v>1.7722947738704456E-3</v>
      </c>
      <c r="F91">
        <f t="shared" si="6"/>
        <v>2.4984856537976761E-3</v>
      </c>
      <c r="G91">
        <f t="shared" si="6"/>
        <v>2.8030143372003691E-3</v>
      </c>
      <c r="H91">
        <f t="shared" si="6"/>
        <v>2.4984856537976761E-3</v>
      </c>
      <c r="I91">
        <f t="shared" si="6"/>
        <v>1.7722947738704456E-3</v>
      </c>
      <c r="J91">
        <f t="shared" si="6"/>
        <v>1.0048054823257912E-3</v>
      </c>
      <c r="K91">
        <f t="shared" si="6"/>
        <v>4.5794686539199524E-4</v>
      </c>
      <c r="L91" s="13">
        <f t="shared" si="6"/>
        <v>1.687651254755434E-4</v>
      </c>
    </row>
    <row r="92" spans="1:12" x14ac:dyDescent="0.2">
      <c r="A92" s="8">
        <f t="shared" si="4"/>
        <v>4.7499000000000002</v>
      </c>
      <c r="B92" s="12">
        <f t="shared" si="6"/>
        <v>1.0130639363374625E-4</v>
      </c>
      <c r="C92">
        <f t="shared" si="6"/>
        <v>2.7291351048606532E-4</v>
      </c>
      <c r="D92">
        <f t="shared" si="6"/>
        <v>5.9462480680759521E-4</v>
      </c>
      <c r="E92">
        <f t="shared" si="6"/>
        <v>1.0425154852419097E-3</v>
      </c>
      <c r="F92">
        <f t="shared" si="6"/>
        <v>1.4636388936262832E-3</v>
      </c>
      <c r="G92">
        <f t="shared" si="6"/>
        <v>1.6396198563146832E-3</v>
      </c>
      <c r="H92">
        <f t="shared" si="6"/>
        <v>1.4636388936262832E-3</v>
      </c>
      <c r="I92">
        <f t="shared" si="6"/>
        <v>1.0425154852419097E-3</v>
      </c>
      <c r="J92">
        <f t="shared" si="6"/>
        <v>5.9462480680759521E-4</v>
      </c>
      <c r="K92">
        <f t="shared" si="6"/>
        <v>2.7291351048606532E-4</v>
      </c>
      <c r="L92" s="13">
        <f t="shared" si="6"/>
        <v>1.0130639363374625E-4</v>
      </c>
    </row>
    <row r="93" spans="1:12" x14ac:dyDescent="0.2">
      <c r="A93" s="8">
        <f t="shared" si="4"/>
        <v>4.9999000000000002</v>
      </c>
      <c r="B93" s="12">
        <f t="shared" si="6"/>
        <v>5.9004391461890857E-5</v>
      </c>
      <c r="C93">
        <f t="shared" si="6"/>
        <v>1.5791395039137715E-4</v>
      </c>
      <c r="D93">
        <f t="shared" si="6"/>
        <v>3.4191535797146202E-4</v>
      </c>
      <c r="E93">
        <f t="shared" si="6"/>
        <v>5.9629458025289546E-4</v>
      </c>
      <c r="F93">
        <f t="shared" si="6"/>
        <v>8.3417713831768301E-4</v>
      </c>
      <c r="G93">
        <f t="shared" si="6"/>
        <v>9.3328860712920227E-4</v>
      </c>
      <c r="H93">
        <f t="shared" si="6"/>
        <v>8.3417713831768301E-4</v>
      </c>
      <c r="I93">
        <f t="shared" si="6"/>
        <v>5.9629458025289546E-4</v>
      </c>
      <c r="J93">
        <f t="shared" si="6"/>
        <v>3.4191535797146202E-4</v>
      </c>
      <c r="K93">
        <f t="shared" si="6"/>
        <v>1.5791395039137715E-4</v>
      </c>
      <c r="L93" s="13">
        <f t="shared" si="6"/>
        <v>5.9004391461890857E-5</v>
      </c>
    </row>
    <row r="94" spans="1:12" x14ac:dyDescent="0.2">
      <c r="A94" s="8">
        <f t="shared" si="4"/>
        <v>5.2499000000000002</v>
      </c>
      <c r="B94" s="12">
        <f t="shared" si="6"/>
        <v>3.3346375088622355E-5</v>
      </c>
      <c r="C94">
        <f t="shared" si="6"/>
        <v>8.871476583293089E-5</v>
      </c>
      <c r="D94">
        <f t="shared" si="6"/>
        <v>1.9101251908742778E-4</v>
      </c>
      <c r="E94">
        <f t="shared" si="6"/>
        <v>3.315715250880289E-4</v>
      </c>
      <c r="F94">
        <f t="shared" si="6"/>
        <v>4.6239969911025087E-4</v>
      </c>
      <c r="G94">
        <f t="shared" si="6"/>
        <v>5.1676875656329825E-4</v>
      </c>
      <c r="H94">
        <f t="shared" si="6"/>
        <v>4.6239969911025087E-4</v>
      </c>
      <c r="I94">
        <f t="shared" si="6"/>
        <v>3.315715250880289E-4</v>
      </c>
      <c r="J94">
        <f t="shared" si="6"/>
        <v>1.9101251908742778E-4</v>
      </c>
      <c r="K94">
        <f t="shared" si="6"/>
        <v>8.871476583293089E-5</v>
      </c>
      <c r="L94" s="13">
        <f t="shared" si="6"/>
        <v>3.3346375088622355E-5</v>
      </c>
    </row>
    <row r="95" spans="1:12" x14ac:dyDescent="0.2">
      <c r="A95" s="8">
        <f t="shared" si="4"/>
        <v>5.4999000000000002</v>
      </c>
      <c r="B95" s="12">
        <f t="shared" si="6"/>
        <v>1.8287073081273996E-5</v>
      </c>
      <c r="C95">
        <f t="shared" si="6"/>
        <v>4.8388156892972123E-5</v>
      </c>
      <c r="D95">
        <f t="shared" si="6"/>
        <v>1.0366321143804725E-4</v>
      </c>
      <c r="E95">
        <f t="shared" si="6"/>
        <v>1.79202736020493E-4</v>
      </c>
      <c r="F95">
        <f t="shared" si="6"/>
        <v>2.4922615028811124E-4</v>
      </c>
      <c r="G95">
        <f t="shared" si="6"/>
        <v>2.782619934236699E-4</v>
      </c>
      <c r="H95">
        <f t="shared" si="6"/>
        <v>2.4922615028811124E-4</v>
      </c>
      <c r="I95">
        <f t="shared" si="6"/>
        <v>1.79202736020493E-4</v>
      </c>
      <c r="J95">
        <f t="shared" si="6"/>
        <v>1.0366321143804725E-4</v>
      </c>
      <c r="K95">
        <f t="shared" si="6"/>
        <v>4.8388156892972123E-5</v>
      </c>
      <c r="L95" s="13">
        <f t="shared" si="6"/>
        <v>1.8287073081273996E-5</v>
      </c>
    </row>
    <row r="96" spans="1:12" x14ac:dyDescent="0.2">
      <c r="A96" s="8">
        <f t="shared" si="4"/>
        <v>5.7499000000000002</v>
      </c>
      <c r="B96" s="12">
        <f t="shared" si="6"/>
        <v>9.7314683833744073E-6</v>
      </c>
      <c r="C96">
        <f t="shared" si="6"/>
        <v>2.5623186240581596E-5</v>
      </c>
      <c r="D96">
        <f t="shared" si="6"/>
        <v>5.4646104044736305E-5</v>
      </c>
      <c r="E96">
        <f t="shared" si="6"/>
        <v>9.4120173333793662E-5</v>
      </c>
      <c r="F96">
        <f t="shared" si="6"/>
        <v>1.3058123673670736E-4</v>
      </c>
      <c r="G96">
        <f t="shared" si="6"/>
        <v>1.4567114630746196E-4</v>
      </c>
      <c r="H96">
        <f t="shared" si="6"/>
        <v>1.3058123673670736E-4</v>
      </c>
      <c r="I96">
        <f t="shared" si="6"/>
        <v>9.4120173333793662E-5</v>
      </c>
      <c r="J96">
        <f t="shared" si="6"/>
        <v>5.4646104044736305E-5</v>
      </c>
      <c r="K96">
        <f t="shared" si="6"/>
        <v>2.5623186240581596E-5</v>
      </c>
      <c r="L96" s="13">
        <f t="shared" si="6"/>
        <v>9.7314683833744073E-6</v>
      </c>
    </row>
    <row r="97" spans="1:12" x14ac:dyDescent="0.2">
      <c r="A97" s="8">
        <f t="shared" si="4"/>
        <v>5.9999000000000002</v>
      </c>
      <c r="B97" s="12">
        <f t="shared" si="6"/>
        <v>5.0251948973337202E-6</v>
      </c>
      <c r="C97">
        <f t="shared" si="6"/>
        <v>1.3172190351396975E-5</v>
      </c>
      <c r="D97">
        <f t="shared" si="6"/>
        <v>2.7978123423960229E-5</v>
      </c>
      <c r="E97">
        <f t="shared" si="6"/>
        <v>4.8030529168570249E-5</v>
      </c>
      <c r="F97">
        <f t="shared" si="6"/>
        <v>6.6494264291480862E-5</v>
      </c>
      <c r="G97">
        <f t="shared" si="6"/>
        <v>7.412291717888844E-5</v>
      </c>
      <c r="H97">
        <f t="shared" si="6"/>
        <v>6.6494264291480862E-5</v>
      </c>
      <c r="I97">
        <f t="shared" si="6"/>
        <v>4.8030529168570249E-5</v>
      </c>
      <c r="J97">
        <f t="shared" si="6"/>
        <v>2.7978123423960229E-5</v>
      </c>
      <c r="K97">
        <f t="shared" si="6"/>
        <v>1.3172190351396975E-5</v>
      </c>
      <c r="L97" s="13">
        <f t="shared" si="6"/>
        <v>5.0251948973337202E-6</v>
      </c>
    </row>
    <row r="98" spans="1:12" x14ac:dyDescent="0.2">
      <c r="A98" s="8">
        <f t="shared" si="4"/>
        <v>6.2499000000000002</v>
      </c>
      <c r="B98" s="15">
        <f t="shared" si="6"/>
        <v>2.5180551215537209E-6</v>
      </c>
      <c r="C98" s="16">
        <f t="shared" si="6"/>
        <v>6.5734221927984375E-6</v>
      </c>
      <c r="D98" s="16">
        <f t="shared" si="6"/>
        <v>1.3910971083399191E-5</v>
      </c>
      <c r="E98" s="16">
        <f t="shared" si="6"/>
        <v>2.3811149479118641E-5</v>
      </c>
      <c r="F98" s="16">
        <f t="shared" si="6"/>
        <v>3.2901709955755293E-5</v>
      </c>
      <c r="G98" s="16">
        <f t="shared" si="6"/>
        <v>3.6652114692857358E-5</v>
      </c>
      <c r="H98" s="16">
        <f t="shared" si="6"/>
        <v>3.2901709955755293E-5</v>
      </c>
      <c r="I98" s="16">
        <f t="shared" si="6"/>
        <v>2.3811149479118641E-5</v>
      </c>
      <c r="J98" s="16">
        <f t="shared" si="6"/>
        <v>1.3910971083399191E-5</v>
      </c>
      <c r="K98" s="16">
        <f t="shared" si="6"/>
        <v>6.5734221927984375E-6</v>
      </c>
      <c r="L98" s="17">
        <f t="shared" si="6"/>
        <v>2.5180551215537209E-6</v>
      </c>
    </row>
    <row r="99" spans="1:12" x14ac:dyDescent="0.2">
      <c r="A99" s="2"/>
      <c r="B99" s="2"/>
    </row>
    <row r="100" spans="1:12" x14ac:dyDescent="0.2">
      <c r="A100" s="2"/>
      <c r="B100" s="2"/>
    </row>
    <row r="101" spans="1:12" x14ac:dyDescent="0.2">
      <c r="A101" s="2"/>
      <c r="B101" s="2"/>
    </row>
    <row r="102" spans="1:12" x14ac:dyDescent="0.2">
      <c r="A102" s="2"/>
      <c r="B102" s="2"/>
    </row>
    <row r="103" spans="1:12" x14ac:dyDescent="0.2">
      <c r="A103" s="2"/>
      <c r="B103" s="2"/>
    </row>
  </sheetData>
  <pageMargins left="0.75" right="0.75" top="1" bottom="1" header="0.5" footer="0.5"/>
  <pageSetup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2DCLSAD-HUNT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Cleveland, Theodore</dc:creator>
  <cp:lastModifiedBy>Cleveland, Theodore</cp:lastModifiedBy>
  <dcterms:created xsi:type="dcterms:W3CDTF">2024-09-19T19:50:01Z</dcterms:created>
  <dcterms:modified xsi:type="dcterms:W3CDTF">2024-09-19T19:56:49Z</dcterms:modified>
</cp:coreProperties>
</file>