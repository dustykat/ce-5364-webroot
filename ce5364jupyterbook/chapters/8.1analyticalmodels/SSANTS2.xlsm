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0" codeName="{C80E003A-6C80-AF87-3323-10F97C11A349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heodore/Desktop/"/>
    </mc:Choice>
  </mc:AlternateContent>
  <xr:revisionPtr revIDLastSave="0" documentId="8_{B9AB949D-CFFD-B948-B72A-B512D29044EE}" xr6:coauthVersionLast="47" xr6:coauthVersionMax="47" xr10:uidLastSave="{00000000-0000-0000-0000-000000000000}"/>
  <bookViews>
    <workbookView xWindow="820" yWindow="500" windowWidth="25600" windowHeight="16060" tabRatio="657" activeTab="5" xr2:uid="{00000000-000D-0000-FFFF-FFFF00000000}"/>
  </bookViews>
  <sheets>
    <sheet name="SELECT-MODEL" sheetId="4" r:id="rId1"/>
    <sheet name="1DINJADR" sheetId="16" r:id="rId2"/>
    <sheet name="1DFPADR" sheetId="17" r:id="rId3"/>
    <sheet name="1DEDADR" sheetId="18" r:id="rId4"/>
    <sheet name="1DIMPAD" sheetId="11" r:id="rId5"/>
    <sheet name="1DCRAD" sheetId="12" r:id="rId6"/>
    <sheet name="1DINJAD" sheetId="13" r:id="rId7"/>
    <sheet name="1DFPAD" sheetId="3" r:id="rId8"/>
    <sheet name="ProgrammerNotes" sheetId="2" state="hidden" r:id="rId9"/>
    <sheet name="1DEDAD" sheetId="10" r:id="rId10"/>
    <sheet name="1DIMPADR" sheetId="14" r:id="rId11"/>
    <sheet name="1DCRADR" sheetId="15" r:id="rId12"/>
    <sheet name="2DFWCRAD-YUAN" sheetId="5" r:id="rId13"/>
    <sheet name="2DFWCRAD-OB" sheetId="7" r:id="rId14"/>
    <sheet name="2DCLSAD-HUNT" sheetId="6" r:id="rId15"/>
    <sheet name="1DRFCAT-HYDM" sheetId="8" r:id="rId16"/>
    <sheet name="1DRFLAH-HYDM" sheetId="9" r:id="rId17"/>
    <sheet name="FunctionList" sheetId="1" state="hidden" r:id="rId18"/>
  </sheets>
  <functionGroups builtInGroupCount="19"/>
  <externalReferences>
    <externalReference r:id="rId19"/>
  </externalReferences>
  <definedNames>
    <definedName name="EEXP" function="1" xlm="1" functionGroupId="14">'[1]EEXP(Z)'!$A$1</definedName>
    <definedName name="erfcc" function="1" xlm="1" functionGroupId="14">'[1]ERFCC(Z)'!$E$1</definedName>
    <definedName name="solver_adj" localSheetId="15" hidden="1">'1DRFCAT-HYDM'!$B$21:$B$22</definedName>
    <definedName name="solver_cvg" localSheetId="15" hidden="1">0.0001</definedName>
    <definedName name="solver_drv" localSheetId="15" hidden="1">1</definedName>
    <definedName name="solver_eng" localSheetId="15" hidden="1">1</definedName>
    <definedName name="solver_itr" localSheetId="15" hidden="1">2147483647</definedName>
    <definedName name="solver_lin" localSheetId="15" hidden="1">2</definedName>
    <definedName name="solver_mip" localSheetId="15" hidden="1">2147483647</definedName>
    <definedName name="solver_mni" localSheetId="15" hidden="1">30</definedName>
    <definedName name="solver_mrt" localSheetId="15" hidden="1">0.075</definedName>
    <definedName name="solver_msl" localSheetId="15" hidden="1">2</definedName>
    <definedName name="solver_neg" localSheetId="15" hidden="1">1</definedName>
    <definedName name="solver_nod" localSheetId="15" hidden="1">2147483647</definedName>
    <definedName name="solver_num" localSheetId="15" hidden="1">0</definedName>
    <definedName name="solver_opt" localSheetId="15" hidden="1">'1DRFCAT-HYDM'!$G$41</definedName>
    <definedName name="solver_pre" localSheetId="15" hidden="1">0.000001</definedName>
    <definedName name="solver_rbv" localSheetId="15" hidden="1">1</definedName>
    <definedName name="solver_rlx" localSheetId="15" hidden="1">2</definedName>
    <definedName name="solver_rsd" localSheetId="15" hidden="1">0</definedName>
    <definedName name="solver_scl" localSheetId="15" hidden="1">1</definedName>
    <definedName name="solver_sho" localSheetId="15" hidden="1">2</definedName>
    <definedName name="solver_ssz" localSheetId="15" hidden="1">100</definedName>
    <definedName name="solver_tim" localSheetId="15" hidden="1">2147483647</definedName>
    <definedName name="solver_tol" localSheetId="15" hidden="1">0.01</definedName>
    <definedName name="solver_typ" localSheetId="15" hidden="1">2</definedName>
    <definedName name="solver_val" localSheetId="15" hidden="1">0</definedName>
    <definedName name="solver_ver" localSheetId="15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6" i="15" l="1"/>
  <c r="B37" i="15"/>
  <c r="C37" i="15" s="1"/>
  <c r="B38" i="15"/>
  <c r="B39" i="15" s="1"/>
  <c r="D36" i="14"/>
  <c r="D37" i="14"/>
  <c r="C37" i="14"/>
  <c r="C38" i="14" s="1"/>
  <c r="C30" i="18"/>
  <c r="C31" i="18"/>
  <c r="C32" i="18" s="1"/>
  <c r="C33" i="18" s="1"/>
  <c r="C34" i="18" s="1"/>
  <c r="C35" i="18" s="1"/>
  <c r="C36" i="18" s="1"/>
  <c r="C37" i="18" s="1"/>
  <c r="C38" i="18" s="1"/>
  <c r="C39" i="18" s="1"/>
  <c r="C40" i="18" s="1"/>
  <c r="C41" i="18" s="1"/>
  <c r="C42" i="18" s="1"/>
  <c r="C43" i="18" s="1"/>
  <c r="C44" i="18" s="1"/>
  <c r="C45" i="18" s="1"/>
  <c r="C46" i="18" s="1"/>
  <c r="C47" i="18" s="1"/>
  <c r="C48" i="18" s="1"/>
  <c r="C49" i="18" s="1"/>
  <c r="B30" i="18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B46" i="18" s="1"/>
  <c r="B47" i="18" s="1"/>
  <c r="B48" i="18" s="1"/>
  <c r="B49" i="18" s="1"/>
  <c r="B26" i="18"/>
  <c r="B37" i="17"/>
  <c r="B38" i="17" s="1"/>
  <c r="J65" i="17"/>
  <c r="B29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K38" i="17"/>
  <c r="R38" i="17" s="1"/>
  <c r="J38" i="17"/>
  <c r="N38" i="17"/>
  <c r="L38" i="17"/>
  <c r="D38" i="17"/>
  <c r="K37" i="17"/>
  <c r="J37" i="17"/>
  <c r="N37" i="17"/>
  <c r="E37" i="17"/>
  <c r="D37" i="17"/>
  <c r="G37" i="17"/>
  <c r="K36" i="17"/>
  <c r="R36" i="17" s="1"/>
  <c r="J36" i="17"/>
  <c r="N36" i="17"/>
  <c r="E36" i="17"/>
  <c r="D36" i="17"/>
  <c r="G36" i="17" s="1"/>
  <c r="B31" i="17"/>
  <c r="B28" i="16"/>
  <c r="B30" i="16" s="1"/>
  <c r="J100" i="16" s="1"/>
  <c r="B32" i="16"/>
  <c r="K100" i="16"/>
  <c r="B41" i="16"/>
  <c r="B42" i="16" s="1"/>
  <c r="L100" i="16"/>
  <c r="J99" i="16"/>
  <c r="K99" i="16"/>
  <c r="L99" i="16"/>
  <c r="J98" i="16"/>
  <c r="K98" i="16"/>
  <c r="L98" i="16"/>
  <c r="J97" i="16"/>
  <c r="K97" i="16"/>
  <c r="L97" i="16"/>
  <c r="J96" i="16"/>
  <c r="K96" i="16"/>
  <c r="L96" i="16"/>
  <c r="J95" i="16"/>
  <c r="K95" i="16"/>
  <c r="L95" i="16"/>
  <c r="J94" i="16"/>
  <c r="K94" i="16"/>
  <c r="L94" i="16"/>
  <c r="J93" i="16"/>
  <c r="K93" i="16"/>
  <c r="L93" i="16"/>
  <c r="J92" i="16"/>
  <c r="K92" i="16"/>
  <c r="L92" i="16"/>
  <c r="J91" i="16"/>
  <c r="K91" i="16"/>
  <c r="L91" i="16"/>
  <c r="J90" i="16"/>
  <c r="K90" i="16"/>
  <c r="L90" i="16"/>
  <c r="J89" i="16"/>
  <c r="K89" i="16"/>
  <c r="L89" i="16"/>
  <c r="J88" i="16"/>
  <c r="K88" i="16"/>
  <c r="L88" i="16"/>
  <c r="J87" i="16"/>
  <c r="K87" i="16"/>
  <c r="L87" i="16"/>
  <c r="J86" i="16"/>
  <c r="K86" i="16"/>
  <c r="L86" i="16"/>
  <c r="J85" i="16"/>
  <c r="K85" i="16"/>
  <c r="L85" i="16"/>
  <c r="J84" i="16"/>
  <c r="K84" i="16"/>
  <c r="L84" i="16"/>
  <c r="J83" i="16"/>
  <c r="K83" i="16"/>
  <c r="L83" i="16"/>
  <c r="J82" i="16"/>
  <c r="K82" i="16"/>
  <c r="L82" i="16"/>
  <c r="J81" i="16"/>
  <c r="K81" i="16"/>
  <c r="L81" i="16"/>
  <c r="J80" i="16"/>
  <c r="K80" i="16"/>
  <c r="L80" i="16"/>
  <c r="J79" i="16"/>
  <c r="K79" i="16"/>
  <c r="L79" i="16"/>
  <c r="J78" i="16"/>
  <c r="K78" i="16"/>
  <c r="L78" i="16"/>
  <c r="J77" i="16"/>
  <c r="K77" i="16"/>
  <c r="L77" i="16"/>
  <c r="J76" i="16"/>
  <c r="K76" i="16"/>
  <c r="L76" i="16"/>
  <c r="J75" i="16"/>
  <c r="K75" i="16"/>
  <c r="L75" i="16"/>
  <c r="J74" i="16"/>
  <c r="K74" i="16"/>
  <c r="L74" i="16"/>
  <c r="J73" i="16"/>
  <c r="K73" i="16"/>
  <c r="L73" i="16"/>
  <c r="J72" i="16"/>
  <c r="K72" i="16"/>
  <c r="L72" i="16"/>
  <c r="J71" i="16"/>
  <c r="K71" i="16"/>
  <c r="L71" i="16"/>
  <c r="J70" i="16"/>
  <c r="K70" i="16"/>
  <c r="L70" i="16"/>
  <c r="J69" i="16"/>
  <c r="K69" i="16"/>
  <c r="L69" i="16"/>
  <c r="J68" i="16"/>
  <c r="K68" i="16"/>
  <c r="L68" i="16"/>
  <c r="J67" i="16"/>
  <c r="K67" i="16"/>
  <c r="L67" i="16"/>
  <c r="J66" i="16"/>
  <c r="K66" i="16"/>
  <c r="L66" i="16"/>
  <c r="J65" i="16"/>
  <c r="K65" i="16"/>
  <c r="L65" i="16"/>
  <c r="J64" i="16"/>
  <c r="K64" i="16"/>
  <c r="L64" i="16"/>
  <c r="J63" i="16"/>
  <c r="K63" i="16"/>
  <c r="L63" i="16"/>
  <c r="J62" i="16"/>
  <c r="K62" i="16"/>
  <c r="L62" i="16"/>
  <c r="J61" i="16"/>
  <c r="K61" i="16"/>
  <c r="L61" i="16"/>
  <c r="J60" i="16"/>
  <c r="K60" i="16"/>
  <c r="L60" i="16"/>
  <c r="J59" i="16"/>
  <c r="K59" i="16"/>
  <c r="L59" i="16"/>
  <c r="J58" i="16"/>
  <c r="K58" i="16"/>
  <c r="L58" i="16"/>
  <c r="J57" i="16"/>
  <c r="K57" i="16"/>
  <c r="L57" i="16"/>
  <c r="J56" i="16"/>
  <c r="K56" i="16"/>
  <c r="L56" i="16"/>
  <c r="J55" i="16"/>
  <c r="K55" i="16"/>
  <c r="L55" i="16"/>
  <c r="J54" i="16"/>
  <c r="K54" i="16"/>
  <c r="L54" i="16"/>
  <c r="J53" i="16"/>
  <c r="K53" i="16"/>
  <c r="L53" i="16"/>
  <c r="J52" i="16"/>
  <c r="K52" i="16"/>
  <c r="L52" i="16"/>
  <c r="J51" i="16"/>
  <c r="K51" i="16"/>
  <c r="L51" i="16"/>
  <c r="J50" i="16"/>
  <c r="K50" i="16"/>
  <c r="L50" i="16"/>
  <c r="J49" i="16"/>
  <c r="K49" i="16"/>
  <c r="L49" i="16"/>
  <c r="J48" i="16"/>
  <c r="K48" i="16"/>
  <c r="L48" i="16"/>
  <c r="J47" i="16"/>
  <c r="K47" i="16"/>
  <c r="L47" i="16"/>
  <c r="J46" i="16"/>
  <c r="K46" i="16"/>
  <c r="L46" i="16"/>
  <c r="J45" i="16"/>
  <c r="K45" i="16"/>
  <c r="L45" i="16"/>
  <c r="J44" i="16"/>
  <c r="K44" i="16"/>
  <c r="L44" i="16"/>
  <c r="J43" i="16"/>
  <c r="K43" i="16"/>
  <c r="L43" i="16"/>
  <c r="J42" i="16"/>
  <c r="K42" i="16"/>
  <c r="L42" i="16"/>
  <c r="J41" i="16"/>
  <c r="K41" i="16"/>
  <c r="C41" i="16"/>
  <c r="E41" i="16"/>
  <c r="F41" i="16"/>
  <c r="H41" i="16" s="1"/>
  <c r="L41" i="16"/>
  <c r="D41" i="16"/>
  <c r="J40" i="16"/>
  <c r="K40" i="16"/>
  <c r="C40" i="16"/>
  <c r="F40" i="16" s="1"/>
  <c r="H40" i="16" s="1"/>
  <c r="E40" i="16"/>
  <c r="L40" i="16"/>
  <c r="D40" i="16"/>
  <c r="G40" i="16"/>
  <c r="I40" i="16"/>
  <c r="B33" i="16"/>
  <c r="B31" i="16"/>
  <c r="B29" i="16"/>
  <c r="B28" i="15"/>
  <c r="B29" i="15"/>
  <c r="I52" i="15" s="1"/>
  <c r="I56" i="15"/>
  <c r="I47" i="15"/>
  <c r="I40" i="15"/>
  <c r="I39" i="15"/>
  <c r="I38" i="15"/>
  <c r="F37" i="15"/>
  <c r="E37" i="15"/>
  <c r="H37" i="15" s="1"/>
  <c r="F36" i="15"/>
  <c r="I36" i="15"/>
  <c r="E36" i="15"/>
  <c r="H36" i="15" s="1"/>
  <c r="B30" i="15"/>
  <c r="B30" i="14"/>
  <c r="B37" i="14"/>
  <c r="B38" i="14" s="1"/>
  <c r="B39" i="14" s="1"/>
  <c r="B40" i="14"/>
  <c r="B41" i="14" s="1"/>
  <c r="B42" i="14"/>
  <c r="B43" i="14" s="1"/>
  <c r="B44" i="14" s="1"/>
  <c r="B45" i="14" s="1"/>
  <c r="B46" i="14" s="1"/>
  <c r="B47" i="14" s="1"/>
  <c r="B48" i="14" s="1"/>
  <c r="B49" i="14"/>
  <c r="B50" i="14"/>
  <c r="B51" i="14" s="1"/>
  <c r="B52" i="14" s="1"/>
  <c r="B53" i="14" s="1"/>
  <c r="B54" i="14" s="1"/>
  <c r="B55" i="14" s="1"/>
  <c r="B32" i="14"/>
  <c r="B31" i="14"/>
  <c r="B29" i="11"/>
  <c r="B33" i="13"/>
  <c r="B28" i="13"/>
  <c r="B41" i="13"/>
  <c r="B42" i="13" s="1"/>
  <c r="E41" i="13"/>
  <c r="B30" i="13"/>
  <c r="E42" i="13"/>
  <c r="D42" i="13"/>
  <c r="G42" i="13"/>
  <c r="I42" i="13" s="1"/>
  <c r="L42" i="13"/>
  <c r="B43" i="13"/>
  <c r="E43" i="13" s="1"/>
  <c r="C43" i="13"/>
  <c r="F43" i="13" s="1"/>
  <c r="H43" i="13" s="1"/>
  <c r="B44" i="13"/>
  <c r="J44" i="13"/>
  <c r="J48" i="13"/>
  <c r="K49" i="13"/>
  <c r="K52" i="13"/>
  <c r="L52" i="13"/>
  <c r="L54" i="13"/>
  <c r="K56" i="13"/>
  <c r="L56" i="13"/>
  <c r="L57" i="13"/>
  <c r="K60" i="13"/>
  <c r="J62" i="13"/>
  <c r="J63" i="13"/>
  <c r="K64" i="13"/>
  <c r="J65" i="13"/>
  <c r="K65" i="13"/>
  <c r="L65" i="13"/>
  <c r="L67" i="13"/>
  <c r="J71" i="13"/>
  <c r="J73" i="13"/>
  <c r="K73" i="13"/>
  <c r="L73" i="13"/>
  <c r="J78" i="13"/>
  <c r="L86" i="13"/>
  <c r="L87" i="13"/>
  <c r="K89" i="13"/>
  <c r="L89" i="13"/>
  <c r="K91" i="13"/>
  <c r="J92" i="13"/>
  <c r="K92" i="13"/>
  <c r="J94" i="13"/>
  <c r="K94" i="13"/>
  <c r="J95" i="13"/>
  <c r="L95" i="13"/>
  <c r="J97" i="13"/>
  <c r="K97" i="13"/>
  <c r="K98" i="13"/>
  <c r="J100" i="13"/>
  <c r="K100" i="13"/>
  <c r="D40" i="13"/>
  <c r="E40" i="13"/>
  <c r="G40" i="13"/>
  <c r="I40" i="13"/>
  <c r="B32" i="13"/>
  <c r="B31" i="13"/>
  <c r="B29" i="13"/>
  <c r="B29" i="12"/>
  <c r="B27" i="12"/>
  <c r="B36" i="12"/>
  <c r="E36" i="12" s="1"/>
  <c r="B28" i="12"/>
  <c r="H36" i="12" s="1"/>
  <c r="B37" i="12"/>
  <c r="C37" i="12"/>
  <c r="H44" i="12"/>
  <c r="H45" i="12"/>
  <c r="H49" i="12"/>
  <c r="H50" i="12"/>
  <c r="H51" i="12"/>
  <c r="H56" i="12"/>
  <c r="H58" i="12"/>
  <c r="H63" i="12"/>
  <c r="E35" i="12"/>
  <c r="C35" i="12"/>
  <c r="F35" i="12"/>
  <c r="B31" i="11"/>
  <c r="C36" i="11"/>
  <c r="C37" i="11" s="1"/>
  <c r="C38" i="11"/>
  <c r="B36" i="1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C39" i="11"/>
  <c r="C40" i="11" s="1"/>
  <c r="C41" i="11" s="1"/>
  <c r="C42" i="11" s="1"/>
  <c r="C43" i="11" s="1"/>
  <c r="C44" i="11" s="1"/>
  <c r="C45" i="11" s="1"/>
  <c r="C46" i="11" s="1"/>
  <c r="C47" i="11" s="1"/>
  <c r="C48" i="11"/>
  <c r="C49" i="11" s="1"/>
  <c r="C50" i="11" s="1"/>
  <c r="C51" i="11" s="1"/>
  <c r="C52" i="11" s="1"/>
  <c r="C53" i="11" s="1"/>
  <c r="C54" i="11" s="1"/>
  <c r="B30" i="11"/>
  <c r="C30" i="10"/>
  <c r="C31" i="10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C43" i="10" s="1"/>
  <c r="C44" i="10" s="1"/>
  <c r="C45" i="10" s="1"/>
  <c r="C46" i="10"/>
  <c r="C47" i="10" s="1"/>
  <c r="C48" i="10" s="1"/>
  <c r="C49" i="10" s="1"/>
  <c r="B26" i="10"/>
  <c r="B30" i="10"/>
  <c r="B31" i="10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C44" i="7"/>
  <c r="C45" i="7"/>
  <c r="B24" i="6"/>
  <c r="B40" i="6"/>
  <c r="A70" i="6"/>
  <c r="B34" i="6"/>
  <c r="C68" i="6"/>
  <c r="D68" i="6" s="1"/>
  <c r="E68" i="6" s="1"/>
  <c r="F68" i="6" s="1"/>
  <c r="G68" i="6" s="1"/>
  <c r="H68" i="6" s="1"/>
  <c r="I68" i="6" s="1"/>
  <c r="J68" i="6"/>
  <c r="K68" i="6" s="1"/>
  <c r="L68" i="6" s="1"/>
  <c r="A71" i="6"/>
  <c r="A72" i="6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B26" i="6"/>
  <c r="B30" i="9"/>
  <c r="C34" i="9"/>
  <c r="B28" i="9"/>
  <c r="D38" i="9" s="1"/>
  <c r="D34" i="9"/>
  <c r="C35" i="9"/>
  <c r="C36" i="9"/>
  <c r="C37" i="9"/>
  <c r="C38" i="9"/>
  <c r="C39" i="9"/>
  <c r="C40" i="9"/>
  <c r="C41" i="9"/>
  <c r="C42" i="9"/>
  <c r="C43" i="9"/>
  <c r="C44" i="9"/>
  <c r="B31" i="9"/>
  <c r="D17" i="9"/>
  <c r="H17" i="9"/>
  <c r="J17" i="9" s="1"/>
  <c r="F17" i="9"/>
  <c r="D16" i="9"/>
  <c r="H16" i="9"/>
  <c r="J16" i="9"/>
  <c r="F16" i="9"/>
  <c r="B26" i="8"/>
  <c r="B25" i="8"/>
  <c r="C29" i="8"/>
  <c r="C30" i="8"/>
  <c r="C31" i="8"/>
  <c r="C32" i="8"/>
  <c r="C33" i="8"/>
  <c r="C34" i="8"/>
  <c r="C35" i="8"/>
  <c r="C36" i="8"/>
  <c r="C37" i="8"/>
  <c r="C38" i="8"/>
  <c r="C39" i="8"/>
  <c r="D15" i="8"/>
  <c r="H15" i="8"/>
  <c r="J15" i="8" s="1"/>
  <c r="D14" i="8"/>
  <c r="H14" i="8"/>
  <c r="F15" i="8"/>
  <c r="J14" i="8"/>
  <c r="F14" i="8"/>
  <c r="B38" i="7"/>
  <c r="B38" i="5"/>
  <c r="B44" i="7"/>
  <c r="G44" i="7"/>
  <c r="H44" i="7"/>
  <c r="B45" i="7"/>
  <c r="B46" i="7" s="1"/>
  <c r="B47" i="7" s="1"/>
  <c r="B48" i="7"/>
  <c r="H43" i="7"/>
  <c r="G43" i="7"/>
  <c r="L43" i="7"/>
  <c r="F52" i="7"/>
  <c r="B34" i="7"/>
  <c r="B36" i="7"/>
  <c r="F47" i="7" s="1"/>
  <c r="N44" i="5"/>
  <c r="I62" i="5"/>
  <c r="I65" i="5"/>
  <c r="I69" i="5"/>
  <c r="I72" i="5"/>
  <c r="I49" i="5"/>
  <c r="M72" i="5"/>
  <c r="L72" i="5"/>
  <c r="M71" i="5"/>
  <c r="L71" i="5"/>
  <c r="M70" i="5"/>
  <c r="L70" i="5"/>
  <c r="M69" i="5"/>
  <c r="L69" i="5"/>
  <c r="M68" i="5"/>
  <c r="L68" i="5"/>
  <c r="M67" i="5"/>
  <c r="L67" i="5"/>
  <c r="M66" i="5"/>
  <c r="L66" i="5"/>
  <c r="M65" i="5"/>
  <c r="L65" i="5"/>
  <c r="M64" i="5"/>
  <c r="L64" i="5"/>
  <c r="M63" i="5"/>
  <c r="L63" i="5"/>
  <c r="M62" i="5"/>
  <c r="L62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M53" i="5"/>
  <c r="L53" i="5"/>
  <c r="M52" i="5"/>
  <c r="L52" i="5"/>
  <c r="M51" i="5"/>
  <c r="L51" i="5"/>
  <c r="M50" i="5"/>
  <c r="L50" i="5"/>
  <c r="K50" i="5"/>
  <c r="O50" i="5" s="1"/>
  <c r="M49" i="5"/>
  <c r="L49" i="5"/>
  <c r="M48" i="5"/>
  <c r="L48" i="5"/>
  <c r="M47" i="5"/>
  <c r="L47" i="5"/>
  <c r="K47" i="5"/>
  <c r="M46" i="5"/>
  <c r="L46" i="5"/>
  <c r="M45" i="5"/>
  <c r="L45" i="5"/>
  <c r="M44" i="5"/>
  <c r="L44" i="5"/>
  <c r="K44" i="5"/>
  <c r="M43" i="5"/>
  <c r="L43" i="5"/>
  <c r="C44" i="5"/>
  <c r="C45" i="5"/>
  <c r="D45" i="5" s="1"/>
  <c r="C46" i="5"/>
  <c r="D46" i="5" s="1"/>
  <c r="G46" i="5" s="1"/>
  <c r="C47" i="5"/>
  <c r="E47" i="5" s="1"/>
  <c r="C48" i="5"/>
  <c r="C49" i="5" s="1"/>
  <c r="C50" i="5" s="1"/>
  <c r="F49" i="5"/>
  <c r="E49" i="5"/>
  <c r="H49" i="5" s="1"/>
  <c r="F46" i="5"/>
  <c r="E46" i="5"/>
  <c r="H46" i="5" s="1"/>
  <c r="E44" i="5"/>
  <c r="D44" i="5"/>
  <c r="F43" i="5"/>
  <c r="H43" i="5" s="1"/>
  <c r="E43" i="5"/>
  <c r="B33" i="5"/>
  <c r="B36" i="5"/>
  <c r="B35" i="5"/>
  <c r="B34" i="5"/>
  <c r="Q53" i="3"/>
  <c r="Q58" i="3"/>
  <c r="H47" i="3"/>
  <c r="H53" i="3"/>
  <c r="H55" i="3"/>
  <c r="H58" i="3"/>
  <c r="H61" i="3"/>
  <c r="H63" i="3"/>
  <c r="Q37" i="3"/>
  <c r="Q40" i="3"/>
  <c r="H38" i="3"/>
  <c r="H43" i="3"/>
  <c r="H46" i="3"/>
  <c r="H36" i="3"/>
  <c r="I36" i="3" s="1"/>
  <c r="B31" i="3"/>
  <c r="B37" i="3"/>
  <c r="C37" i="3" s="1"/>
  <c r="B38" i="3"/>
  <c r="K38" i="3" s="1"/>
  <c r="B39" i="3"/>
  <c r="E39" i="3" s="1"/>
  <c r="B40" i="3"/>
  <c r="B41" i="3"/>
  <c r="J65" i="3"/>
  <c r="Q65" i="3" s="1"/>
  <c r="B29" i="3"/>
  <c r="B30" i="3"/>
  <c r="J64" i="3"/>
  <c r="Q64" i="3" s="1"/>
  <c r="J63" i="3"/>
  <c r="J62" i="3"/>
  <c r="Q62" i="3" s="1"/>
  <c r="J61" i="3"/>
  <c r="J60" i="3"/>
  <c r="J59" i="3"/>
  <c r="J58" i="3"/>
  <c r="J57" i="3"/>
  <c r="Q57" i="3" s="1"/>
  <c r="J56" i="3"/>
  <c r="J55" i="3"/>
  <c r="J54" i="3"/>
  <c r="Q54" i="3" s="1"/>
  <c r="J53" i="3"/>
  <c r="J52" i="3"/>
  <c r="J51" i="3"/>
  <c r="J50" i="3"/>
  <c r="J49" i="3"/>
  <c r="Q49" i="3" s="1"/>
  <c r="J48" i="3"/>
  <c r="J47" i="3"/>
  <c r="J46" i="3"/>
  <c r="Q46" i="3" s="1"/>
  <c r="J45" i="3"/>
  <c r="Q45" i="3" s="1"/>
  <c r="J44" i="3"/>
  <c r="J43" i="3"/>
  <c r="Q43" i="3" s="1"/>
  <c r="J42" i="3"/>
  <c r="J41" i="3"/>
  <c r="Q41" i="3" s="1"/>
  <c r="K40" i="3"/>
  <c r="N40" i="3" s="1"/>
  <c r="R40" i="3"/>
  <c r="J40" i="3"/>
  <c r="M40" i="3" s="1"/>
  <c r="P40" i="3" s="1"/>
  <c r="K39" i="3"/>
  <c r="R39" i="3"/>
  <c r="J39" i="3"/>
  <c r="M39" i="3" s="1"/>
  <c r="C39" i="3"/>
  <c r="F39" i="3" s="1"/>
  <c r="J38" i="3"/>
  <c r="Q38" i="3" s="1"/>
  <c r="N38" i="3"/>
  <c r="L38" i="3"/>
  <c r="O38" i="3" s="1"/>
  <c r="C38" i="3"/>
  <c r="E38" i="3"/>
  <c r="J37" i="3"/>
  <c r="K36" i="3"/>
  <c r="N36" i="3" s="1"/>
  <c r="R36" i="3"/>
  <c r="J36" i="3"/>
  <c r="L36" i="3" s="1"/>
  <c r="O36" i="3" s="1"/>
  <c r="M36" i="3"/>
  <c r="P36" i="3" s="1"/>
  <c r="C36" i="3"/>
  <c r="F36" i="3" s="1"/>
  <c r="E36" i="3"/>
  <c r="D36" i="3"/>
  <c r="G36" i="3" s="1"/>
  <c r="D43" i="18"/>
  <c r="D35" i="18"/>
  <c r="E53" i="14"/>
  <c r="E45" i="14"/>
  <c r="E37" i="14"/>
  <c r="D42" i="11"/>
  <c r="D49" i="11"/>
  <c r="D32" i="10"/>
  <c r="D40" i="10"/>
  <c r="D48" i="10"/>
  <c r="E41" i="9"/>
  <c r="D33" i="18"/>
  <c r="E43" i="14"/>
  <c r="D44" i="11"/>
  <c r="D42" i="10"/>
  <c r="E36" i="9"/>
  <c r="H4" i="1"/>
  <c r="D48" i="18"/>
  <c r="E42" i="14"/>
  <c r="D45" i="11"/>
  <c r="D35" i="10"/>
  <c r="D29" i="10"/>
  <c r="D36" i="8"/>
  <c r="D47" i="18"/>
  <c r="E49" i="14"/>
  <c r="D53" i="11"/>
  <c r="D36" i="10"/>
  <c r="E34" i="9"/>
  <c r="D33" i="8"/>
  <c r="D39" i="8"/>
  <c r="D38" i="18"/>
  <c r="E48" i="14"/>
  <c r="D39" i="11"/>
  <c r="D45" i="10"/>
  <c r="E43" i="9"/>
  <c r="D29" i="18"/>
  <c r="E47" i="14"/>
  <c r="D40" i="11"/>
  <c r="D29" i="8"/>
  <c r="D36" i="18"/>
  <c r="E38" i="14"/>
  <c r="D31" i="10"/>
  <c r="E38" i="9"/>
  <c r="D42" i="18"/>
  <c r="D34" i="18"/>
  <c r="E52" i="14"/>
  <c r="E44" i="14"/>
  <c r="D43" i="11"/>
  <c r="D50" i="11"/>
  <c r="D33" i="10"/>
  <c r="D41" i="10"/>
  <c r="D49" i="10"/>
  <c r="E39" i="9"/>
  <c r="D32" i="8"/>
  <c r="D35" i="8"/>
  <c r="D38" i="8"/>
  <c r="D49" i="18"/>
  <c r="D41" i="18"/>
  <c r="E51" i="14"/>
  <c r="D51" i="11"/>
  <c r="D34" i="10"/>
  <c r="D30" i="10"/>
  <c r="D30" i="8"/>
  <c r="D40" i="18"/>
  <c r="D32" i="18"/>
  <c r="E50" i="14"/>
  <c r="D38" i="11"/>
  <c r="D52" i="11"/>
  <c r="D43" i="10"/>
  <c r="E42" i="9"/>
  <c r="E36" i="14"/>
  <c r="D39" i="18"/>
  <c r="E41" i="14"/>
  <c r="D35" i="11"/>
  <c r="D46" i="11"/>
  <c r="D44" i="10"/>
  <c r="E37" i="9"/>
  <c r="D30" i="18"/>
  <c r="E40" i="14"/>
  <c r="D47" i="11"/>
  <c r="D37" i="10"/>
  <c r="D31" i="8"/>
  <c r="D45" i="18"/>
  <c r="E55" i="14"/>
  <c r="D38" i="10"/>
  <c r="H5" i="1"/>
  <c r="E46" i="14"/>
  <c r="D41" i="11"/>
  <c r="D39" i="10"/>
  <c r="E44" i="9"/>
  <c r="D31" i="18"/>
  <c r="D54" i="11"/>
  <c r="E40" i="9"/>
  <c r="D37" i="18"/>
  <c r="D36" i="11"/>
  <c r="D46" i="10"/>
  <c r="E35" i="9"/>
  <c r="D34" i="8"/>
  <c r="D44" i="18"/>
  <c r="E54" i="14"/>
  <c r="D48" i="11"/>
  <c r="D47" i="10"/>
  <c r="D46" i="18"/>
  <c r="E39" i="14"/>
  <c r="D37" i="8"/>
  <c r="D37" i="11"/>
  <c r="E37" i="8" l="1"/>
  <c r="G37" i="8" s="1"/>
  <c r="E34" i="8"/>
  <c r="G34" i="8" s="1"/>
  <c r="F35" i="9"/>
  <c r="H35" i="9" s="1"/>
  <c r="F40" i="9"/>
  <c r="H40" i="9" s="1"/>
  <c r="F44" i="9"/>
  <c r="H44" i="9" s="1"/>
  <c r="E31" i="8"/>
  <c r="G31" i="8" s="1"/>
  <c r="F37" i="9"/>
  <c r="H37" i="9" s="1"/>
  <c r="E30" i="8"/>
  <c r="G30" i="8" s="1"/>
  <c r="E38" i="8"/>
  <c r="G38" i="8" s="1"/>
  <c r="E35" i="8"/>
  <c r="G35" i="8" s="1"/>
  <c r="E32" i="8"/>
  <c r="G32" i="8" s="1"/>
  <c r="F39" i="9"/>
  <c r="H39" i="9" s="1"/>
  <c r="F38" i="9"/>
  <c r="H38" i="9" s="1"/>
  <c r="E29" i="8"/>
  <c r="G29" i="8" s="1"/>
  <c r="F43" i="9"/>
  <c r="H43" i="9" s="1"/>
  <c r="E39" i="8"/>
  <c r="G39" i="8" s="1"/>
  <c r="E33" i="8"/>
  <c r="G33" i="8" s="1"/>
  <c r="E36" i="8"/>
  <c r="G36" i="8" s="1"/>
  <c r="F36" i="9"/>
  <c r="H36" i="9" s="1"/>
  <c r="F41" i="9"/>
  <c r="H41" i="9" s="1"/>
  <c r="D43" i="7"/>
  <c r="B35" i="7"/>
  <c r="D44" i="7"/>
  <c r="C40" i="3"/>
  <c r="F40" i="3" s="1"/>
  <c r="I40" i="3" s="1"/>
  <c r="E40" i="3"/>
  <c r="I63" i="5"/>
  <c r="I71" i="5"/>
  <c r="I50" i="5"/>
  <c r="I57" i="5"/>
  <c r="I60" i="5"/>
  <c r="I48" i="5"/>
  <c r="I53" i="5"/>
  <c r="I56" i="5"/>
  <c r="I45" i="5"/>
  <c r="I54" i="5"/>
  <c r="I58" i="5"/>
  <c r="I61" i="5"/>
  <c r="I64" i="5"/>
  <c r="I67" i="5"/>
  <c r="I70" i="5"/>
  <c r="I44" i="5"/>
  <c r="I47" i="5"/>
  <c r="I43" i="5"/>
  <c r="I51" i="5"/>
  <c r="O44" i="5"/>
  <c r="Q44" i="3"/>
  <c r="I46" i="5"/>
  <c r="J46" i="5" s="1"/>
  <c r="I68" i="5"/>
  <c r="K43" i="7"/>
  <c r="D47" i="7"/>
  <c r="B49" i="7"/>
  <c r="H45" i="7"/>
  <c r="G45" i="7"/>
  <c r="F73" i="7"/>
  <c r="F69" i="7"/>
  <c r="F65" i="7"/>
  <c r="F61" i="7"/>
  <c r="F57" i="7"/>
  <c r="F53" i="7"/>
  <c r="F49" i="7"/>
  <c r="F45" i="7"/>
  <c r="F72" i="7"/>
  <c r="F67" i="7"/>
  <c r="F62" i="7"/>
  <c r="F56" i="7"/>
  <c r="F51" i="7"/>
  <c r="F46" i="7"/>
  <c r="F70" i="7"/>
  <c r="F48" i="7"/>
  <c r="F59" i="7"/>
  <c r="F43" i="7"/>
  <c r="J43" i="7" s="1"/>
  <c r="F71" i="7"/>
  <c r="F66" i="7"/>
  <c r="F60" i="7"/>
  <c r="F55" i="7"/>
  <c r="F50" i="7"/>
  <c r="F44" i="7"/>
  <c r="J44" i="7" s="1"/>
  <c r="F64" i="7"/>
  <c r="F54" i="7"/>
  <c r="Q51" i="3"/>
  <c r="Q60" i="3"/>
  <c r="B42" i="3"/>
  <c r="C41" i="3"/>
  <c r="K41" i="3"/>
  <c r="E41" i="3"/>
  <c r="D41" i="3"/>
  <c r="A84" i="6"/>
  <c r="H44" i="5"/>
  <c r="M43" i="13"/>
  <c r="Q55" i="3"/>
  <c r="D40" i="3"/>
  <c r="G40" i="3" s="1"/>
  <c r="Q47" i="3"/>
  <c r="Q36" i="3"/>
  <c r="D39" i="3"/>
  <c r="G39" i="3" s="1"/>
  <c r="Q63" i="3"/>
  <c r="H48" i="3"/>
  <c r="H56" i="3"/>
  <c r="H64" i="3"/>
  <c r="H44" i="3"/>
  <c r="Q39" i="3"/>
  <c r="H51" i="3"/>
  <c r="H59" i="3"/>
  <c r="H39" i="3"/>
  <c r="I39" i="3" s="1"/>
  <c r="H37" i="3"/>
  <c r="H45" i="3"/>
  <c r="H54" i="3"/>
  <c r="H62" i="3"/>
  <c r="H42" i="3"/>
  <c r="H49" i="3"/>
  <c r="H57" i="3"/>
  <c r="H65" i="3"/>
  <c r="H52" i="3"/>
  <c r="H60" i="3"/>
  <c r="H40" i="3"/>
  <c r="H41" i="3"/>
  <c r="Q50" i="3"/>
  <c r="H50" i="3"/>
  <c r="D47" i="5"/>
  <c r="G47" i="5" s="1"/>
  <c r="G45" i="5"/>
  <c r="O45" i="5"/>
  <c r="N49" i="5"/>
  <c r="I66" i="5"/>
  <c r="I59" i="5"/>
  <c r="F63" i="7"/>
  <c r="K44" i="7"/>
  <c r="D43" i="9"/>
  <c r="F38" i="3"/>
  <c r="I38" i="3" s="1"/>
  <c r="N50" i="5"/>
  <c r="F68" i="7"/>
  <c r="C39" i="14"/>
  <c r="D38" i="14"/>
  <c r="N47" i="5"/>
  <c r="I35" i="12"/>
  <c r="N39" i="3"/>
  <c r="P39" i="3" s="1"/>
  <c r="L39" i="3"/>
  <c r="D50" i="5"/>
  <c r="G50" i="5" s="1"/>
  <c r="C51" i="5"/>
  <c r="K51" i="5" s="1"/>
  <c r="E50" i="5"/>
  <c r="H50" i="5" s="1"/>
  <c r="O47" i="5"/>
  <c r="F58" i="7"/>
  <c r="D36" i="9"/>
  <c r="D44" i="9"/>
  <c r="D40" i="9"/>
  <c r="D35" i="9"/>
  <c r="D37" i="9"/>
  <c r="D42" i="9"/>
  <c r="B29" i="9"/>
  <c r="D39" i="9"/>
  <c r="D41" i="9"/>
  <c r="Q56" i="3"/>
  <c r="N48" i="5"/>
  <c r="I55" i="5"/>
  <c r="Q59" i="3"/>
  <c r="R38" i="3"/>
  <c r="M38" i="3"/>
  <c r="P38" i="3" s="1"/>
  <c r="L40" i="3"/>
  <c r="O40" i="3" s="1"/>
  <c r="Q52" i="3"/>
  <c r="Q48" i="3"/>
  <c r="Q42" i="3"/>
  <c r="Q61" i="3"/>
  <c r="D49" i="5"/>
  <c r="G49" i="5" s="1"/>
  <c r="J49" i="5" s="1"/>
  <c r="O49" i="5"/>
  <c r="I52" i="5"/>
  <c r="D48" i="7"/>
  <c r="C46" i="7"/>
  <c r="E37" i="12"/>
  <c r="F37" i="12" s="1"/>
  <c r="B38" i="12"/>
  <c r="D37" i="3"/>
  <c r="E45" i="5"/>
  <c r="H45" i="5" s="1"/>
  <c r="D48" i="5"/>
  <c r="F50" i="5"/>
  <c r="K43" i="5"/>
  <c r="L41" i="13"/>
  <c r="M41" i="13" s="1"/>
  <c r="K44" i="13"/>
  <c r="M44" i="13" s="1"/>
  <c r="J47" i="13"/>
  <c r="L49" i="13"/>
  <c r="J42" i="13"/>
  <c r="L44" i="13"/>
  <c r="K47" i="13"/>
  <c r="K42" i="13"/>
  <c r="M42" i="13" s="1"/>
  <c r="J45" i="13"/>
  <c r="L47" i="13"/>
  <c r="K50" i="13"/>
  <c r="J53" i="13"/>
  <c r="J46" i="13"/>
  <c r="L50" i="13"/>
  <c r="J51" i="13"/>
  <c r="K55" i="13"/>
  <c r="J58" i="13"/>
  <c r="L60" i="13"/>
  <c r="K63" i="13"/>
  <c r="J66" i="13"/>
  <c r="L68" i="13"/>
  <c r="K71" i="13"/>
  <c r="J74" i="13"/>
  <c r="L76" i="13"/>
  <c r="K79" i="13"/>
  <c r="J82" i="13"/>
  <c r="L84" i="13"/>
  <c r="K87" i="13"/>
  <c r="J90" i="13"/>
  <c r="L92" i="13"/>
  <c r="K95" i="13"/>
  <c r="J98" i="13"/>
  <c r="L100" i="13"/>
  <c r="K45" i="13"/>
  <c r="K46" i="13"/>
  <c r="K51" i="13"/>
  <c r="L55" i="13"/>
  <c r="K58" i="13"/>
  <c r="J61" i="13"/>
  <c r="L63" i="13"/>
  <c r="K66" i="13"/>
  <c r="J69" i="13"/>
  <c r="L71" i="13"/>
  <c r="K74" i="13"/>
  <c r="L45" i="13"/>
  <c r="L46" i="13"/>
  <c r="L51" i="13"/>
  <c r="J52" i="13"/>
  <c r="J56" i="13"/>
  <c r="L58" i="13"/>
  <c r="K61" i="13"/>
  <c r="J64" i="13"/>
  <c r="L66" i="13"/>
  <c r="K69" i="13"/>
  <c r="J72" i="13"/>
  <c r="L74" i="13"/>
  <c r="K77" i="13"/>
  <c r="J80" i="13"/>
  <c r="L82" i="13"/>
  <c r="K85" i="13"/>
  <c r="J88" i="13"/>
  <c r="L90" i="13"/>
  <c r="K93" i="13"/>
  <c r="J96" i="13"/>
  <c r="L98" i="13"/>
  <c r="K40" i="13"/>
  <c r="J41" i="13"/>
  <c r="J43" i="13"/>
  <c r="L48" i="13"/>
  <c r="J55" i="13"/>
  <c r="K62" i="13"/>
  <c r="L69" i="13"/>
  <c r="L70" i="13"/>
  <c r="J75" i="13"/>
  <c r="J76" i="13"/>
  <c r="L77" i="13"/>
  <c r="K78" i="13"/>
  <c r="J79" i="13"/>
  <c r="K80" i="13"/>
  <c r="J81" i="13"/>
  <c r="J83" i="13"/>
  <c r="J40" i="13"/>
  <c r="M40" i="13" s="1"/>
  <c r="K41" i="13"/>
  <c r="K43" i="13"/>
  <c r="J54" i="13"/>
  <c r="L61" i="13"/>
  <c r="L62" i="13"/>
  <c r="J67" i="13"/>
  <c r="J68" i="13"/>
  <c r="K75" i="13"/>
  <c r="K76" i="13"/>
  <c r="L78" i="13"/>
  <c r="L79" i="13"/>
  <c r="L80" i="13"/>
  <c r="K81" i="13"/>
  <c r="K82" i="13"/>
  <c r="K83" i="13"/>
  <c r="J84" i="13"/>
  <c r="J85" i="13"/>
  <c r="J86" i="13"/>
  <c r="L43" i="13"/>
  <c r="J50" i="13"/>
  <c r="K54" i="13"/>
  <c r="J59" i="13"/>
  <c r="J60" i="13"/>
  <c r="K67" i="13"/>
  <c r="K68" i="13"/>
  <c r="L75" i="13"/>
  <c r="L81" i="13"/>
  <c r="L83" i="13"/>
  <c r="K84" i="13"/>
  <c r="L85" i="13"/>
  <c r="K86" i="13"/>
  <c r="J87" i="13"/>
  <c r="K88" i="13"/>
  <c r="J89" i="13"/>
  <c r="J91" i="13"/>
  <c r="K48" i="13"/>
  <c r="K53" i="13"/>
  <c r="L64" i="13"/>
  <c r="J77" i="13"/>
  <c r="L88" i="13"/>
  <c r="L91" i="13"/>
  <c r="L94" i="13"/>
  <c r="L97" i="13"/>
  <c r="J99" i="13"/>
  <c r="L40" i="13"/>
  <c r="L53" i="13"/>
  <c r="J57" i="13"/>
  <c r="K59" i="13"/>
  <c r="J70" i="13"/>
  <c r="K72" i="13"/>
  <c r="J93" i="13"/>
  <c r="K96" i="13"/>
  <c r="K99" i="13"/>
  <c r="J49" i="13"/>
  <c r="K57" i="13"/>
  <c r="L59" i="13"/>
  <c r="K70" i="13"/>
  <c r="L72" i="13"/>
  <c r="K90" i="13"/>
  <c r="L93" i="13"/>
  <c r="L96" i="13"/>
  <c r="L99" i="13"/>
  <c r="K45" i="5"/>
  <c r="N45" i="5" s="1"/>
  <c r="B36" i="6"/>
  <c r="B37" i="6"/>
  <c r="K48" i="5"/>
  <c r="O48" i="5" s="1"/>
  <c r="E37" i="3"/>
  <c r="F37" i="3" s="1"/>
  <c r="D43" i="5"/>
  <c r="G43" i="5" s="1"/>
  <c r="J43" i="5" s="1"/>
  <c r="F45" i="5"/>
  <c r="E48" i="5"/>
  <c r="K46" i="5"/>
  <c r="O46" i="5" s="1"/>
  <c r="H40" i="12"/>
  <c r="H48" i="12"/>
  <c r="H43" i="12"/>
  <c r="H47" i="12"/>
  <c r="H54" i="12"/>
  <c r="H62" i="12"/>
  <c r="H38" i="12"/>
  <c r="H53" i="12"/>
  <c r="H61" i="12"/>
  <c r="H42" i="12"/>
  <c r="H46" i="12"/>
  <c r="H52" i="12"/>
  <c r="H60" i="12"/>
  <c r="H37" i="12"/>
  <c r="H41" i="12"/>
  <c r="H39" i="12"/>
  <c r="H64" i="12"/>
  <c r="H55" i="12"/>
  <c r="H57" i="12"/>
  <c r="H59" i="12"/>
  <c r="H35" i="12"/>
  <c r="M41" i="16"/>
  <c r="F44" i="5"/>
  <c r="G44" i="5" s="1"/>
  <c r="J44" i="5" s="1"/>
  <c r="P44" i="5" s="1"/>
  <c r="F47" i="5"/>
  <c r="H47" i="5" s="1"/>
  <c r="I65" i="15"/>
  <c r="I57" i="15"/>
  <c r="I49" i="15"/>
  <c r="I41" i="15"/>
  <c r="I58" i="15"/>
  <c r="I50" i="15"/>
  <c r="I42" i="15"/>
  <c r="I59" i="15"/>
  <c r="I51" i="15"/>
  <c r="I43" i="15"/>
  <c r="I48" i="15"/>
  <c r="I46" i="15"/>
  <c r="I44" i="15"/>
  <c r="I37" i="15"/>
  <c r="I55" i="15"/>
  <c r="I53" i="15"/>
  <c r="I64" i="15"/>
  <c r="I62" i="15"/>
  <c r="I60" i="15"/>
  <c r="I63" i="15"/>
  <c r="I54" i="15"/>
  <c r="I45" i="15"/>
  <c r="K37" i="3"/>
  <c r="M37" i="3" s="1"/>
  <c r="D38" i="3"/>
  <c r="G38" i="3" s="1"/>
  <c r="F48" i="5"/>
  <c r="K49" i="5"/>
  <c r="D46" i="7"/>
  <c r="I61" i="15"/>
  <c r="M40" i="16"/>
  <c r="D45" i="7"/>
  <c r="F34" i="9"/>
  <c r="H34" i="9" s="1"/>
  <c r="F42" i="9"/>
  <c r="H42" i="9" s="1"/>
  <c r="E44" i="13"/>
  <c r="B45" i="13"/>
  <c r="C36" i="12"/>
  <c r="F36" i="12" s="1"/>
  <c r="I36" i="12" s="1"/>
  <c r="D35" i="12"/>
  <c r="G35" i="12" s="1"/>
  <c r="D37" i="12"/>
  <c r="D36" i="12"/>
  <c r="G36" i="12" s="1"/>
  <c r="C42" i="16"/>
  <c r="B43" i="16"/>
  <c r="E42" i="16"/>
  <c r="D42" i="16"/>
  <c r="G42" i="16" s="1"/>
  <c r="I42" i="16" s="1"/>
  <c r="C44" i="13"/>
  <c r="F44" i="13" s="1"/>
  <c r="H44" i="13" s="1"/>
  <c r="D43" i="13"/>
  <c r="G43" i="13" s="1"/>
  <c r="I43" i="13" s="1"/>
  <c r="D41" i="13"/>
  <c r="G41" i="13" s="1"/>
  <c r="I41" i="13" s="1"/>
  <c r="C42" i="13"/>
  <c r="F42" i="13" s="1"/>
  <c r="H42" i="13" s="1"/>
  <c r="D44" i="13"/>
  <c r="G44" i="13" s="1"/>
  <c r="I44" i="13" s="1"/>
  <c r="D45" i="13"/>
  <c r="C40" i="13"/>
  <c r="F40" i="13" s="1"/>
  <c r="H40" i="13" s="1"/>
  <c r="C41" i="13"/>
  <c r="F41" i="13" s="1"/>
  <c r="H41" i="13" s="1"/>
  <c r="O38" i="17"/>
  <c r="G41" i="16"/>
  <c r="I41" i="16" s="1"/>
  <c r="M36" i="17"/>
  <c r="P36" i="17" s="1"/>
  <c r="L36" i="17"/>
  <c r="O36" i="17" s="1"/>
  <c r="D36" i="15"/>
  <c r="G36" i="15" s="1"/>
  <c r="J36" i="15" s="1"/>
  <c r="D37" i="15"/>
  <c r="G37" i="15" s="1"/>
  <c r="J37" i="15" s="1"/>
  <c r="D38" i="15"/>
  <c r="R37" i="17"/>
  <c r="L37" i="17"/>
  <c r="O37" i="17" s="1"/>
  <c r="B40" i="15"/>
  <c r="C39" i="15"/>
  <c r="C38" i="17"/>
  <c r="F38" i="17" s="1"/>
  <c r="C37" i="17"/>
  <c r="F37" i="17" s="1"/>
  <c r="C36" i="17"/>
  <c r="F36" i="17" s="1"/>
  <c r="B30" i="17"/>
  <c r="Q36" i="17" s="1"/>
  <c r="E38" i="17"/>
  <c r="G38" i="17" s="1"/>
  <c r="B39" i="17"/>
  <c r="C39" i="17" s="1"/>
  <c r="M37" i="17"/>
  <c r="P37" i="17" s="1"/>
  <c r="M38" i="17"/>
  <c r="P38" i="17" s="1"/>
  <c r="C38" i="15"/>
  <c r="H46" i="9" l="1"/>
  <c r="G41" i="8"/>
  <c r="P46" i="5"/>
  <c r="N51" i="5"/>
  <c r="O51" i="5"/>
  <c r="F39" i="17"/>
  <c r="D49" i="7"/>
  <c r="B50" i="7"/>
  <c r="Q37" i="17"/>
  <c r="Q38" i="17"/>
  <c r="B44" i="16"/>
  <c r="D43" i="16"/>
  <c r="G43" i="16" s="1"/>
  <c r="I43" i="16" s="1"/>
  <c r="C43" i="16"/>
  <c r="E43" i="16"/>
  <c r="B39" i="12"/>
  <c r="E38" i="12"/>
  <c r="F41" i="3"/>
  <c r="F42" i="16"/>
  <c r="H42" i="16" s="1"/>
  <c r="M42" i="16" s="1"/>
  <c r="D51" i="5"/>
  <c r="G51" i="5" s="1"/>
  <c r="J47" i="5"/>
  <c r="P47" i="5" s="1"/>
  <c r="K42" i="3"/>
  <c r="D42" i="3"/>
  <c r="B43" i="3"/>
  <c r="C42" i="3"/>
  <c r="E42" i="3"/>
  <c r="I43" i="7"/>
  <c r="G45" i="13"/>
  <c r="I45" i="13" s="1"/>
  <c r="G37" i="12"/>
  <c r="I37" i="12" s="1"/>
  <c r="H48" i="5"/>
  <c r="A85" i="6"/>
  <c r="C38" i="12"/>
  <c r="F38" i="12" s="1"/>
  <c r="I46" i="7"/>
  <c r="N46" i="5"/>
  <c r="N43" i="5"/>
  <c r="O43" i="5"/>
  <c r="P43" i="5" s="1"/>
  <c r="O39" i="3"/>
  <c r="J45" i="7"/>
  <c r="B41" i="15"/>
  <c r="C40" i="15"/>
  <c r="Q44" i="17"/>
  <c r="H65" i="17"/>
  <c r="H64" i="17"/>
  <c r="H63" i="17"/>
  <c r="H62" i="17"/>
  <c r="H61" i="17"/>
  <c r="H60" i="17"/>
  <c r="H59" i="17"/>
  <c r="H58" i="17"/>
  <c r="H57" i="17"/>
  <c r="H56" i="17"/>
  <c r="H55" i="17"/>
  <c r="H54" i="17"/>
  <c r="H53" i="17"/>
  <c r="H52" i="17"/>
  <c r="H51" i="17"/>
  <c r="H50" i="17"/>
  <c r="H49" i="17"/>
  <c r="H48" i="17"/>
  <c r="H47" i="17"/>
  <c r="H46" i="17"/>
  <c r="H45" i="17"/>
  <c r="H44" i="17"/>
  <c r="H43" i="17"/>
  <c r="H42" i="17"/>
  <c r="H41" i="17"/>
  <c r="H40" i="17"/>
  <c r="H39" i="17"/>
  <c r="H38" i="17"/>
  <c r="I38" i="17" s="1"/>
  <c r="H37" i="17"/>
  <c r="H36" i="17"/>
  <c r="I36" i="17" s="1"/>
  <c r="Q58" i="17"/>
  <c r="Q50" i="17"/>
  <c r="Q57" i="17"/>
  <c r="Q49" i="17"/>
  <c r="Q64" i="17"/>
  <c r="Q56" i="17"/>
  <c r="Q48" i="17"/>
  <c r="Q63" i="17"/>
  <c r="Q59" i="17"/>
  <c r="Q55" i="17"/>
  <c r="Q51" i="17"/>
  <c r="Q47" i="17"/>
  <c r="Q60" i="17"/>
  <c r="Q52" i="17"/>
  <c r="Q61" i="17"/>
  <c r="Q53" i="17"/>
  <c r="Q46" i="17"/>
  <c r="Q62" i="17"/>
  <c r="Q54" i="17"/>
  <c r="Q42" i="17"/>
  <c r="P49" i="5"/>
  <c r="J45" i="5"/>
  <c r="P45" i="5" s="1"/>
  <c r="I37" i="17"/>
  <c r="Q65" i="17"/>
  <c r="Q39" i="17"/>
  <c r="B46" i="13"/>
  <c r="C45" i="13"/>
  <c r="E45" i="13"/>
  <c r="R37" i="3"/>
  <c r="I37" i="3" s="1"/>
  <c r="L37" i="3"/>
  <c r="N37" i="3"/>
  <c r="P37" i="3" s="1"/>
  <c r="Q45" i="17"/>
  <c r="E39" i="17"/>
  <c r="B40" i="17"/>
  <c r="K39" i="17"/>
  <c r="D39" i="17"/>
  <c r="G39" i="17" s="1"/>
  <c r="Q40" i="17"/>
  <c r="B35" i="6"/>
  <c r="B39" i="6"/>
  <c r="B38" i="6"/>
  <c r="C47" i="7"/>
  <c r="H46" i="7"/>
  <c r="K46" i="7" s="1"/>
  <c r="G46" i="7"/>
  <c r="J46" i="7" s="1"/>
  <c r="L46" i="7" s="1"/>
  <c r="K45" i="7"/>
  <c r="G37" i="3"/>
  <c r="R41" i="3"/>
  <c r="N41" i="3"/>
  <c r="M41" i="3"/>
  <c r="P41" i="3" s="1"/>
  <c r="L41" i="3"/>
  <c r="O41" i="3" s="1"/>
  <c r="I44" i="7"/>
  <c r="L44" i="7" s="1"/>
  <c r="Q41" i="17"/>
  <c r="I45" i="7"/>
  <c r="L45" i="7" s="1"/>
  <c r="E51" i="5"/>
  <c r="C52" i="5"/>
  <c r="F51" i="5"/>
  <c r="E73" i="7"/>
  <c r="E69" i="7"/>
  <c r="E65" i="7"/>
  <c r="E61" i="7"/>
  <c r="E57" i="7"/>
  <c r="E53" i="7"/>
  <c r="E49" i="7"/>
  <c r="E45" i="7"/>
  <c r="E66" i="7"/>
  <c r="E44" i="7"/>
  <c r="E72" i="7"/>
  <c r="E67" i="7"/>
  <c r="E62" i="7"/>
  <c r="E56" i="7"/>
  <c r="E51" i="7"/>
  <c r="E46" i="7"/>
  <c r="E60" i="7"/>
  <c r="E50" i="7"/>
  <c r="E71" i="7"/>
  <c r="E55" i="7"/>
  <c r="E64" i="7"/>
  <c r="E52" i="7"/>
  <c r="E47" i="7"/>
  <c r="I47" i="7" s="1"/>
  <c r="E48" i="7"/>
  <c r="I48" i="7" s="1"/>
  <c r="E43" i="7"/>
  <c r="E70" i="7"/>
  <c r="E58" i="7"/>
  <c r="E68" i="7"/>
  <c r="E63" i="7"/>
  <c r="E59" i="7"/>
  <c r="E54" i="7"/>
  <c r="J50" i="5"/>
  <c r="P50" i="5" s="1"/>
  <c r="C40" i="14"/>
  <c r="D39" i="14"/>
  <c r="F38" i="15"/>
  <c r="G38" i="15" s="1"/>
  <c r="J38" i="15" s="1"/>
  <c r="E38" i="15"/>
  <c r="H38" i="15" s="1"/>
  <c r="E39" i="15"/>
  <c r="H39" i="15" s="1"/>
  <c r="D39" i="15"/>
  <c r="F39" i="15"/>
  <c r="Q43" i="17"/>
  <c r="D38" i="12"/>
  <c r="G38" i="12" s="1"/>
  <c r="G48" i="5"/>
  <c r="J48" i="5" s="1"/>
  <c r="P48" i="5" s="1"/>
  <c r="G41" i="3"/>
  <c r="D44" i="16" l="1"/>
  <c r="B45" i="16"/>
  <c r="C44" i="16"/>
  <c r="E44" i="16"/>
  <c r="D40" i="15"/>
  <c r="F40" i="15"/>
  <c r="E40" i="15"/>
  <c r="F45" i="13"/>
  <c r="H45" i="13" s="1"/>
  <c r="M45" i="13" s="1"/>
  <c r="I38" i="12"/>
  <c r="C48" i="7"/>
  <c r="G47" i="7"/>
  <c r="J47" i="7" s="1"/>
  <c r="H47" i="7"/>
  <c r="K47" i="7" s="1"/>
  <c r="L47" i="7" s="1"/>
  <c r="E40" i="17"/>
  <c r="K40" i="17"/>
  <c r="B41" i="17"/>
  <c r="D40" i="17"/>
  <c r="G40" i="17" s="1"/>
  <c r="C40" i="17"/>
  <c r="F40" i="17" s="1"/>
  <c r="B47" i="13"/>
  <c r="E46" i="13"/>
  <c r="C46" i="13"/>
  <c r="D46" i="13"/>
  <c r="B44" i="3"/>
  <c r="D43" i="3"/>
  <c r="C43" i="3"/>
  <c r="E43" i="3"/>
  <c r="K43" i="3"/>
  <c r="B40" i="12"/>
  <c r="E39" i="12"/>
  <c r="C39" i="12"/>
  <c r="D39" i="12"/>
  <c r="G39" i="12" s="1"/>
  <c r="B51" i="7"/>
  <c r="D50" i="7"/>
  <c r="I50" i="7" s="1"/>
  <c r="B42" i="15"/>
  <c r="C41" i="15"/>
  <c r="D40" i="14"/>
  <c r="C41" i="14"/>
  <c r="R39" i="17"/>
  <c r="I39" i="17" s="1"/>
  <c r="N39" i="17"/>
  <c r="L39" i="17"/>
  <c r="O39" i="17" s="1"/>
  <c r="M39" i="17"/>
  <c r="A86" i="6"/>
  <c r="G42" i="3"/>
  <c r="I49" i="7"/>
  <c r="O37" i="3"/>
  <c r="I41" i="3"/>
  <c r="F42" i="3"/>
  <c r="C53" i="5"/>
  <c r="D52" i="5"/>
  <c r="K52" i="5"/>
  <c r="E52" i="5"/>
  <c r="F52" i="5"/>
  <c r="G39" i="15"/>
  <c r="J39" i="15" s="1"/>
  <c r="H51" i="5"/>
  <c r="J51" i="5" s="1"/>
  <c r="P51" i="5" s="1"/>
  <c r="R42" i="3"/>
  <c r="M42" i="3"/>
  <c r="N42" i="3"/>
  <c r="L42" i="3"/>
  <c r="O42" i="3" s="1"/>
  <c r="F43" i="16"/>
  <c r="H43" i="16" s="1"/>
  <c r="M43" i="16" s="1"/>
  <c r="C72" i="6"/>
  <c r="B70" i="6"/>
  <c r="K75" i="6"/>
  <c r="D72" i="6"/>
  <c r="E55" i="6"/>
  <c r="D71" i="6"/>
  <c r="G83" i="6"/>
  <c r="B76" i="6"/>
  <c r="I75" i="6"/>
  <c r="K76" i="6"/>
  <c r="H83" i="6"/>
  <c r="C80" i="6"/>
  <c r="E53" i="6"/>
  <c r="E84" i="6"/>
  <c r="J84" i="6"/>
  <c r="J82" i="6"/>
  <c r="G71" i="6"/>
  <c r="K83" i="6"/>
  <c r="F78" i="6"/>
  <c r="J73" i="6"/>
  <c r="E82" i="6"/>
  <c r="E75" i="6"/>
  <c r="E50" i="6"/>
  <c r="C83" i="6"/>
  <c r="B84" i="6"/>
  <c r="I85" i="6"/>
  <c r="H85" i="6"/>
  <c r="J69" i="6"/>
  <c r="D69" i="6"/>
  <c r="E45" i="6"/>
  <c r="C71" i="6"/>
  <c r="L70" i="6"/>
  <c r="E81" i="6"/>
  <c r="G84" i="6"/>
  <c r="L76" i="6"/>
  <c r="B74" i="6"/>
  <c r="E52" i="6"/>
  <c r="H69" i="6"/>
  <c r="B77" i="6"/>
  <c r="E70" i="6"/>
  <c r="K72" i="6"/>
  <c r="G76" i="6"/>
  <c r="L75" i="6"/>
  <c r="E85" i="6"/>
  <c r="B72" i="6"/>
  <c r="F76" i="6"/>
  <c r="I81" i="6"/>
  <c r="H78" i="6"/>
  <c r="H80" i="6"/>
  <c r="C70" i="6"/>
  <c r="K80" i="6"/>
  <c r="K74" i="6"/>
  <c r="B78" i="6"/>
  <c r="E49" i="6"/>
  <c r="G70" i="6"/>
  <c r="D83" i="6"/>
  <c r="L72" i="6"/>
  <c r="L73" i="6"/>
  <c r="J77" i="6"/>
  <c r="D70" i="6"/>
  <c r="C78" i="6"/>
  <c r="G85" i="6"/>
  <c r="E57" i="6"/>
  <c r="C79" i="6"/>
  <c r="F83" i="6"/>
  <c r="D78" i="6"/>
  <c r="K81" i="6"/>
  <c r="B83" i="6"/>
  <c r="E72" i="6"/>
  <c r="K79" i="6"/>
  <c r="F85" i="6"/>
  <c r="E77" i="6"/>
  <c r="G72" i="6"/>
  <c r="G73" i="6"/>
  <c r="H77" i="6"/>
  <c r="D79" i="6"/>
  <c r="I74" i="6"/>
  <c r="F71" i="6"/>
  <c r="C76" i="6"/>
  <c r="F80" i="6"/>
  <c r="E46" i="6"/>
  <c r="K69" i="6"/>
  <c r="L71" i="6"/>
  <c r="L84" i="6"/>
  <c r="K77" i="6"/>
  <c r="D82" i="6"/>
  <c r="H73" i="6"/>
  <c r="D81" i="6"/>
  <c r="H74" i="6"/>
  <c r="J83" i="6"/>
  <c r="B79" i="6"/>
  <c r="F74" i="6"/>
  <c r="D75" i="6"/>
  <c r="G81" i="6"/>
  <c r="D73" i="6"/>
  <c r="D85" i="6"/>
  <c r="F69" i="6"/>
  <c r="G80" i="6"/>
  <c r="E74" i="6"/>
  <c r="J71" i="6"/>
  <c r="B81" i="6"/>
  <c r="C75" i="6"/>
  <c r="B75" i="6"/>
  <c r="F75" i="6"/>
  <c r="H79" i="6"/>
  <c r="I78" i="6"/>
  <c r="I76" i="6"/>
  <c r="E56" i="6"/>
  <c r="L77" i="6"/>
  <c r="J75" i="6"/>
  <c r="K84" i="6"/>
  <c r="K78" i="6"/>
  <c r="B73" i="6"/>
  <c r="B82" i="6"/>
  <c r="C77" i="6"/>
  <c r="H82" i="6"/>
  <c r="H70" i="6"/>
  <c r="J85" i="6"/>
  <c r="F79" i="6"/>
  <c r="F84" i="6"/>
  <c r="B80" i="6"/>
  <c r="E51" i="6"/>
  <c r="H72" i="6"/>
  <c r="D77" i="6"/>
  <c r="C85" i="6"/>
  <c r="G75" i="6"/>
  <c r="G82" i="6"/>
  <c r="I70" i="6"/>
  <c r="H76" i="6"/>
  <c r="I82" i="6"/>
  <c r="I73" i="6"/>
  <c r="I69" i="6"/>
  <c r="K85" i="6"/>
  <c r="E69" i="6"/>
  <c r="F77" i="6"/>
  <c r="G77" i="6"/>
  <c r="L82" i="6"/>
  <c r="F70" i="6"/>
  <c r="B69" i="6"/>
  <c r="L83" i="6"/>
  <c r="E73" i="6"/>
  <c r="G79" i="6"/>
  <c r="E79" i="6"/>
  <c r="E78" i="6"/>
  <c r="F81" i="6"/>
  <c r="E80" i="6"/>
  <c r="E54" i="6"/>
  <c r="E76" i="6"/>
  <c r="L78" i="6"/>
  <c r="K71" i="6"/>
  <c r="C69" i="6"/>
  <c r="J72" i="6"/>
  <c r="E83" i="6"/>
  <c r="J79" i="6"/>
  <c r="H81" i="6"/>
  <c r="E71" i="6"/>
  <c r="I84" i="6"/>
  <c r="L85" i="6"/>
  <c r="J70" i="6"/>
  <c r="I77" i="6"/>
  <c r="L74" i="6"/>
  <c r="E47" i="6"/>
  <c r="I72" i="6"/>
  <c r="I71" i="6"/>
  <c r="G78" i="6"/>
  <c r="J74" i="6"/>
  <c r="B85" i="6"/>
  <c r="J78" i="6"/>
  <c r="B71" i="6"/>
  <c r="D80" i="6"/>
  <c r="E58" i="6"/>
  <c r="G74" i="6"/>
  <c r="I79" i="6"/>
  <c r="E59" i="6"/>
  <c r="C84" i="6"/>
  <c r="H84" i="6"/>
  <c r="C74" i="6"/>
  <c r="K82" i="6"/>
  <c r="L69" i="6"/>
  <c r="F82" i="6"/>
  <c r="K73" i="6"/>
  <c r="F72" i="6"/>
  <c r="L79" i="6"/>
  <c r="G69" i="6"/>
  <c r="J80" i="6"/>
  <c r="J81" i="6"/>
  <c r="C82" i="6"/>
  <c r="H71" i="6"/>
  <c r="C73" i="6"/>
  <c r="I83" i="6"/>
  <c r="D74" i="6"/>
  <c r="H75" i="6"/>
  <c r="C81" i="6"/>
  <c r="D84" i="6"/>
  <c r="I80" i="6"/>
  <c r="J76" i="6"/>
  <c r="D76" i="6"/>
  <c r="K70" i="6"/>
  <c r="E48" i="6"/>
  <c r="L81" i="6"/>
  <c r="L80" i="6"/>
  <c r="F73" i="6"/>
  <c r="D48" i="6" l="1"/>
  <c r="D59" i="6"/>
  <c r="D58" i="6"/>
  <c r="D47" i="6"/>
  <c r="D54" i="6"/>
  <c r="D51" i="6"/>
  <c r="D56" i="6"/>
  <c r="D46" i="6"/>
  <c r="D57" i="6"/>
  <c r="D49" i="6"/>
  <c r="D52" i="6"/>
  <c r="D45" i="6"/>
  <c r="D50" i="6"/>
  <c r="D53" i="6"/>
  <c r="D55" i="6"/>
  <c r="F44" i="16"/>
  <c r="H44" i="16" s="1"/>
  <c r="F43" i="3"/>
  <c r="C49" i="7"/>
  <c r="G48" i="7"/>
  <c r="J48" i="7" s="1"/>
  <c r="H48" i="7"/>
  <c r="K48" i="7" s="1"/>
  <c r="L48" i="7"/>
  <c r="G43" i="3"/>
  <c r="K53" i="5"/>
  <c r="D53" i="5"/>
  <c r="G53" i="5" s="1"/>
  <c r="C54" i="5"/>
  <c r="F53" i="5"/>
  <c r="E53" i="5"/>
  <c r="H53" i="5" s="1"/>
  <c r="I42" i="3"/>
  <c r="F41" i="15"/>
  <c r="D41" i="15"/>
  <c r="G41" i="15" s="1"/>
  <c r="E41" i="15"/>
  <c r="H41" i="15" s="1"/>
  <c r="F39" i="12"/>
  <c r="I39" i="12" s="1"/>
  <c r="R40" i="17"/>
  <c r="N40" i="17"/>
  <c r="L40" i="17"/>
  <c r="O40" i="17" s="1"/>
  <c r="M40" i="17"/>
  <c r="P40" i="17" s="1"/>
  <c r="H40" i="15"/>
  <c r="L43" i="3"/>
  <c r="N43" i="3"/>
  <c r="R43" i="3"/>
  <c r="M43" i="3"/>
  <c r="N52" i="5"/>
  <c r="O52" i="5"/>
  <c r="B52" i="7"/>
  <c r="D51" i="7"/>
  <c r="I51" i="7" s="1"/>
  <c r="E41" i="17"/>
  <c r="B42" i="17"/>
  <c r="K41" i="17"/>
  <c r="D41" i="17"/>
  <c r="C41" i="17"/>
  <c r="A87" i="6"/>
  <c r="B43" i="15"/>
  <c r="C42" i="15"/>
  <c r="G46" i="13"/>
  <c r="I46" i="13" s="1"/>
  <c r="H52" i="5"/>
  <c r="E47" i="13"/>
  <c r="B48" i="13"/>
  <c r="D47" i="13"/>
  <c r="G47" i="13" s="1"/>
  <c r="I47" i="13" s="1"/>
  <c r="C47" i="13"/>
  <c r="F47" i="13" s="1"/>
  <c r="H47" i="13" s="1"/>
  <c r="M47" i="13" s="1"/>
  <c r="I40" i="17"/>
  <c r="B46" i="16"/>
  <c r="C45" i="16"/>
  <c r="E45" i="16"/>
  <c r="D45" i="16"/>
  <c r="G45" i="16" s="1"/>
  <c r="I45" i="16" s="1"/>
  <c r="P42" i="3"/>
  <c r="G52" i="5"/>
  <c r="J52" i="5" s="1"/>
  <c r="P52" i="5" s="1"/>
  <c r="D41" i="14"/>
  <c r="C42" i="14"/>
  <c r="G44" i="16"/>
  <c r="I44" i="16" s="1"/>
  <c r="C44" i="3"/>
  <c r="B45" i="3"/>
  <c r="E44" i="3"/>
  <c r="K44" i="3"/>
  <c r="D44" i="3"/>
  <c r="G44" i="3" s="1"/>
  <c r="P39" i="17"/>
  <c r="E40" i="12"/>
  <c r="B41" i="12"/>
  <c r="D40" i="12"/>
  <c r="C40" i="12"/>
  <c r="F40" i="12" s="1"/>
  <c r="F46" i="13"/>
  <c r="H46" i="13" s="1"/>
  <c r="M46" i="13" s="1"/>
  <c r="G40" i="15"/>
  <c r="J40" i="15" s="1"/>
  <c r="K86" i="6"/>
  <c r="H86" i="6"/>
  <c r="E86" i="6"/>
  <c r="I86" i="6"/>
  <c r="F86" i="6"/>
  <c r="G86" i="6"/>
  <c r="B86" i="6"/>
  <c r="J86" i="6"/>
  <c r="D86" i="6"/>
  <c r="L86" i="6"/>
  <c r="C86" i="6"/>
  <c r="B53" i="7" l="1"/>
  <c r="D52" i="7"/>
  <c r="I52" i="7" s="1"/>
  <c r="A88" i="6"/>
  <c r="F44" i="3"/>
  <c r="I44" i="3" s="1"/>
  <c r="F45" i="16"/>
  <c r="H45" i="16" s="1"/>
  <c r="M45" i="16" s="1"/>
  <c r="G41" i="17"/>
  <c r="C50" i="7"/>
  <c r="G49" i="7"/>
  <c r="J49" i="7" s="1"/>
  <c r="H49" i="7"/>
  <c r="K49" i="7" s="1"/>
  <c r="L49" i="7"/>
  <c r="O43" i="3"/>
  <c r="N44" i="3"/>
  <c r="R44" i="3"/>
  <c r="M44" i="3"/>
  <c r="L44" i="3"/>
  <c r="B49" i="13"/>
  <c r="E48" i="13"/>
  <c r="C48" i="13"/>
  <c r="F48" i="13" s="1"/>
  <c r="H48" i="13" s="1"/>
  <c r="D48" i="13"/>
  <c r="G48" i="13" s="1"/>
  <c r="I48" i="13" s="1"/>
  <c r="C45" i="3"/>
  <c r="F45" i="3" s="1"/>
  <c r="E45" i="3"/>
  <c r="K45" i="3"/>
  <c r="B46" i="3"/>
  <c r="D45" i="3"/>
  <c r="G45" i="3" s="1"/>
  <c r="G40" i="12"/>
  <c r="B42" i="12"/>
  <c r="E41" i="12"/>
  <c r="C41" i="12"/>
  <c r="F41" i="12" s="1"/>
  <c r="D41" i="12"/>
  <c r="B47" i="16"/>
  <c r="D46" i="16"/>
  <c r="C46" i="16"/>
  <c r="E46" i="16"/>
  <c r="D42" i="15"/>
  <c r="F42" i="15"/>
  <c r="E42" i="15"/>
  <c r="H42" i="15" s="1"/>
  <c r="R41" i="17"/>
  <c r="N41" i="17"/>
  <c r="L41" i="17"/>
  <c r="M41" i="17"/>
  <c r="P41" i="17" s="1"/>
  <c r="P43" i="3"/>
  <c r="D54" i="5"/>
  <c r="C55" i="5"/>
  <c r="F54" i="5"/>
  <c r="E54" i="5"/>
  <c r="K54" i="5"/>
  <c r="I43" i="3"/>
  <c r="O53" i="5"/>
  <c r="N53" i="5"/>
  <c r="J41" i="15"/>
  <c r="I40" i="12"/>
  <c r="F41" i="17"/>
  <c r="I41" i="17" s="1"/>
  <c r="D42" i="14"/>
  <c r="C43" i="14"/>
  <c r="B44" i="15"/>
  <c r="C43" i="15"/>
  <c r="E42" i="17"/>
  <c r="B43" i="17"/>
  <c r="K42" i="17"/>
  <c r="D42" i="17"/>
  <c r="G42" i="17" s="1"/>
  <c r="C42" i="17"/>
  <c r="J53" i="5"/>
  <c r="M44" i="16"/>
  <c r="E87" i="6"/>
  <c r="I87" i="6"/>
  <c r="F87" i="6"/>
  <c r="H87" i="6"/>
  <c r="C87" i="6"/>
  <c r="G87" i="6"/>
  <c r="J87" i="6"/>
  <c r="D87" i="6"/>
  <c r="B87" i="6"/>
  <c r="K87" i="6"/>
  <c r="L87" i="6"/>
  <c r="R42" i="17" l="1"/>
  <c r="N42" i="17"/>
  <c r="L42" i="17"/>
  <c r="O42" i="17" s="1"/>
  <c r="M42" i="17"/>
  <c r="P42" i="17" s="1"/>
  <c r="E55" i="5"/>
  <c r="H55" i="5" s="1"/>
  <c r="D55" i="5"/>
  <c r="G55" i="5" s="1"/>
  <c r="J55" i="5" s="1"/>
  <c r="C56" i="5"/>
  <c r="K55" i="5"/>
  <c r="F55" i="5"/>
  <c r="G42" i="15"/>
  <c r="J42" i="15" s="1"/>
  <c r="B45" i="15"/>
  <c r="C44" i="15"/>
  <c r="O41" i="17"/>
  <c r="G46" i="16"/>
  <c r="I46" i="16" s="1"/>
  <c r="K46" i="3"/>
  <c r="D46" i="3"/>
  <c r="C46" i="3"/>
  <c r="B47" i="3"/>
  <c r="E46" i="3"/>
  <c r="O44" i="3"/>
  <c r="H50" i="7"/>
  <c r="K50" i="7" s="1"/>
  <c r="L50" i="7" s="1"/>
  <c r="C51" i="7"/>
  <c r="G50" i="7"/>
  <c r="J50" i="7" s="1"/>
  <c r="M48" i="13"/>
  <c r="F43" i="15"/>
  <c r="E43" i="15"/>
  <c r="H43" i="15" s="1"/>
  <c r="D43" i="15"/>
  <c r="G43" i="15" s="1"/>
  <c r="J43" i="15" s="1"/>
  <c r="F46" i="16"/>
  <c r="H46" i="16" s="1"/>
  <c r="P53" i="5"/>
  <c r="R45" i="3"/>
  <c r="I45" i="3" s="1"/>
  <c r="M45" i="3"/>
  <c r="N45" i="3"/>
  <c r="L45" i="3"/>
  <c r="P44" i="3"/>
  <c r="I41" i="12"/>
  <c r="E43" i="17"/>
  <c r="D43" i="17"/>
  <c r="G43" i="17" s="1"/>
  <c r="B44" i="17"/>
  <c r="K43" i="17"/>
  <c r="C43" i="17"/>
  <c r="G54" i="5"/>
  <c r="C42" i="12"/>
  <c r="E42" i="12"/>
  <c r="B43" i="12"/>
  <c r="D42" i="12"/>
  <c r="G42" i="12" s="1"/>
  <c r="E49" i="13"/>
  <c r="B50" i="13"/>
  <c r="D49" i="13"/>
  <c r="C49" i="13"/>
  <c r="A89" i="6"/>
  <c r="D43" i="14"/>
  <c r="C44" i="14"/>
  <c r="N54" i="5"/>
  <c r="O54" i="5"/>
  <c r="C47" i="16"/>
  <c r="D47" i="16"/>
  <c r="E47" i="16"/>
  <c r="B48" i="16"/>
  <c r="F42" i="17"/>
  <c r="I42" i="17" s="1"/>
  <c r="H54" i="5"/>
  <c r="G41" i="12"/>
  <c r="B54" i="7"/>
  <c r="D53" i="7"/>
  <c r="I53" i="7" s="1"/>
  <c r="L88" i="6"/>
  <c r="E88" i="6"/>
  <c r="G88" i="6"/>
  <c r="B88" i="6"/>
  <c r="H88" i="6"/>
  <c r="K88" i="6"/>
  <c r="J88" i="6"/>
  <c r="C88" i="6"/>
  <c r="I88" i="6"/>
  <c r="F88" i="6"/>
  <c r="D88" i="6"/>
  <c r="B45" i="17" l="1"/>
  <c r="E44" i="17"/>
  <c r="D44" i="17"/>
  <c r="G44" i="17" s="1"/>
  <c r="K44" i="17"/>
  <c r="C44" i="17"/>
  <c r="F44" i="17" s="1"/>
  <c r="L46" i="3"/>
  <c r="N46" i="3"/>
  <c r="M46" i="3"/>
  <c r="P46" i="3" s="1"/>
  <c r="C57" i="5"/>
  <c r="D56" i="5"/>
  <c r="E56" i="5"/>
  <c r="K56" i="5"/>
  <c r="F56" i="5"/>
  <c r="B49" i="16"/>
  <c r="E48" i="16"/>
  <c r="D48" i="16"/>
  <c r="C48" i="16"/>
  <c r="B44" i="12"/>
  <c r="E43" i="12"/>
  <c r="D43" i="12"/>
  <c r="G43" i="12" s="1"/>
  <c r="C43" i="12"/>
  <c r="F43" i="12" s="1"/>
  <c r="I43" i="12" s="1"/>
  <c r="F47" i="16"/>
  <c r="H47" i="16" s="1"/>
  <c r="M47" i="16" s="1"/>
  <c r="A90" i="6"/>
  <c r="F49" i="13"/>
  <c r="H49" i="13" s="1"/>
  <c r="J54" i="5"/>
  <c r="P54" i="5" s="1"/>
  <c r="O45" i="3"/>
  <c r="C47" i="3"/>
  <c r="E47" i="3"/>
  <c r="K47" i="3"/>
  <c r="D47" i="3"/>
  <c r="B48" i="3"/>
  <c r="H51" i="7"/>
  <c r="K51" i="7" s="1"/>
  <c r="C52" i="7"/>
  <c r="G51" i="7"/>
  <c r="J51" i="7" s="1"/>
  <c r="L51" i="7"/>
  <c r="P55" i="5"/>
  <c r="G47" i="16"/>
  <c r="I47" i="16" s="1"/>
  <c r="F42" i="12"/>
  <c r="I42" i="12" s="1"/>
  <c r="G49" i="13"/>
  <c r="I49" i="13" s="1"/>
  <c r="F43" i="17"/>
  <c r="F46" i="3"/>
  <c r="M46" i="16"/>
  <c r="F44" i="15"/>
  <c r="E44" i="15"/>
  <c r="H44" i="15" s="1"/>
  <c r="D44" i="15"/>
  <c r="C45" i="15"/>
  <c r="B46" i="15"/>
  <c r="D54" i="7"/>
  <c r="I54" i="7" s="1"/>
  <c r="B55" i="7"/>
  <c r="C45" i="14"/>
  <c r="D44" i="14"/>
  <c r="E50" i="13"/>
  <c r="B51" i="13"/>
  <c r="D50" i="13"/>
  <c r="G50" i="13" s="1"/>
  <c r="I50" i="13" s="1"/>
  <c r="C50" i="13"/>
  <c r="F50" i="13" s="1"/>
  <c r="H50" i="13" s="1"/>
  <c r="R43" i="17"/>
  <c r="L43" i="17"/>
  <c r="N43" i="17"/>
  <c r="M43" i="17"/>
  <c r="P43" i="17" s="1"/>
  <c r="P45" i="3"/>
  <c r="G46" i="3"/>
  <c r="N55" i="5"/>
  <c r="O55" i="5"/>
  <c r="I89" i="6"/>
  <c r="B89" i="6"/>
  <c r="E89" i="6"/>
  <c r="J89" i="6"/>
  <c r="K89" i="6"/>
  <c r="L89" i="6"/>
  <c r="F89" i="6"/>
  <c r="C89" i="6"/>
  <c r="H89" i="6"/>
  <c r="G89" i="6"/>
  <c r="D89" i="6"/>
  <c r="A91" i="6" l="1"/>
  <c r="C53" i="7"/>
  <c r="H52" i="7"/>
  <c r="K52" i="7" s="1"/>
  <c r="G52" i="7"/>
  <c r="J52" i="7" s="1"/>
  <c r="L52" i="7"/>
  <c r="M50" i="13"/>
  <c r="I43" i="17"/>
  <c r="M49" i="13"/>
  <c r="H56" i="5"/>
  <c r="R44" i="17"/>
  <c r="I44" i="17" s="1"/>
  <c r="L44" i="17"/>
  <c r="N44" i="17"/>
  <c r="M44" i="17"/>
  <c r="E44" i="12"/>
  <c r="B45" i="12"/>
  <c r="D44" i="12"/>
  <c r="G44" i="12" s="1"/>
  <c r="C44" i="12"/>
  <c r="F44" i="12" s="1"/>
  <c r="I44" i="12" s="1"/>
  <c r="G56" i="5"/>
  <c r="J56" i="5" s="1"/>
  <c r="F47" i="3"/>
  <c r="B50" i="16"/>
  <c r="D49" i="16"/>
  <c r="C49" i="16"/>
  <c r="E49" i="16"/>
  <c r="B47" i="15"/>
  <c r="C46" i="15"/>
  <c r="F45" i="15"/>
  <c r="E45" i="15"/>
  <c r="H45" i="15" s="1"/>
  <c r="D45" i="15"/>
  <c r="G47" i="3"/>
  <c r="F48" i="16"/>
  <c r="H48" i="16" s="1"/>
  <c r="C58" i="5"/>
  <c r="E57" i="5"/>
  <c r="D57" i="5"/>
  <c r="F57" i="5"/>
  <c r="K57" i="5"/>
  <c r="C46" i="14"/>
  <c r="D45" i="14"/>
  <c r="O43" i="17"/>
  <c r="D55" i="7"/>
  <c r="I55" i="7" s="1"/>
  <c r="B56" i="7"/>
  <c r="O46" i="3"/>
  <c r="R46" i="3" s="1"/>
  <c r="I46" i="3" s="1"/>
  <c r="N56" i="5"/>
  <c r="O56" i="5"/>
  <c r="E48" i="3"/>
  <c r="C48" i="3"/>
  <c r="F48" i="3" s="1"/>
  <c r="B49" i="3"/>
  <c r="D48" i="3"/>
  <c r="G48" i="3" s="1"/>
  <c r="K48" i="3"/>
  <c r="B52" i="13"/>
  <c r="D51" i="13"/>
  <c r="G51" i="13" s="1"/>
  <c r="I51" i="13" s="1"/>
  <c r="E51" i="13"/>
  <c r="C51" i="13"/>
  <c r="F51" i="13" s="1"/>
  <c r="H51" i="13" s="1"/>
  <c r="G44" i="15"/>
  <c r="J44" i="15" s="1"/>
  <c r="N47" i="3"/>
  <c r="L47" i="3"/>
  <c r="O47" i="3" s="1"/>
  <c r="R47" i="3" s="1"/>
  <c r="M47" i="3"/>
  <c r="P47" i="3" s="1"/>
  <c r="G48" i="16"/>
  <c r="I48" i="16" s="1"/>
  <c r="B46" i="17"/>
  <c r="E45" i="17"/>
  <c r="D45" i="17"/>
  <c r="G45" i="17" s="1"/>
  <c r="K45" i="17"/>
  <c r="C45" i="17"/>
  <c r="F45" i="17" s="1"/>
  <c r="D90" i="6"/>
  <c r="L90" i="6"/>
  <c r="H90" i="6"/>
  <c r="B90" i="6"/>
  <c r="E90" i="6"/>
  <c r="I90" i="6"/>
  <c r="C90" i="6"/>
  <c r="F90" i="6"/>
  <c r="J90" i="6"/>
  <c r="G90" i="6"/>
  <c r="K90" i="6"/>
  <c r="I47" i="3" l="1"/>
  <c r="E46" i="15"/>
  <c r="F46" i="15"/>
  <c r="D46" i="15"/>
  <c r="R45" i="17"/>
  <c r="I45" i="17" s="1"/>
  <c r="N45" i="17"/>
  <c r="L45" i="17"/>
  <c r="O45" i="17" s="1"/>
  <c r="M45" i="17"/>
  <c r="D58" i="5"/>
  <c r="E58" i="5"/>
  <c r="C59" i="5"/>
  <c r="K58" i="5"/>
  <c r="F58" i="5"/>
  <c r="E45" i="12"/>
  <c r="B46" i="12"/>
  <c r="C45" i="12"/>
  <c r="D45" i="12"/>
  <c r="N57" i="5"/>
  <c r="O57" i="5"/>
  <c r="O44" i="17"/>
  <c r="L48" i="3"/>
  <c r="N48" i="3"/>
  <c r="M48" i="3"/>
  <c r="H57" i="5"/>
  <c r="M48" i="16"/>
  <c r="F49" i="16"/>
  <c r="H49" i="16" s="1"/>
  <c r="P56" i="5"/>
  <c r="G57" i="5"/>
  <c r="J57" i="5" s="1"/>
  <c r="P57" i="5" s="1"/>
  <c r="D56" i="7"/>
  <c r="I56" i="7" s="1"/>
  <c r="B57" i="7"/>
  <c r="B48" i="15"/>
  <c r="C47" i="15"/>
  <c r="C54" i="7"/>
  <c r="H53" i="7"/>
  <c r="K53" i="7" s="1"/>
  <c r="G53" i="7"/>
  <c r="J53" i="7" s="1"/>
  <c r="L53" i="7"/>
  <c r="B50" i="3"/>
  <c r="C49" i="3"/>
  <c r="E49" i="3"/>
  <c r="K49" i="3"/>
  <c r="D49" i="3"/>
  <c r="G49" i="3" s="1"/>
  <c r="M51" i="13"/>
  <c r="G49" i="16"/>
  <c r="I49" i="16" s="1"/>
  <c r="B53" i="13"/>
  <c r="C52" i="13"/>
  <c r="F52" i="13" s="1"/>
  <c r="H52" i="13" s="1"/>
  <c r="M52" i="13" s="1"/>
  <c r="E52" i="13"/>
  <c r="D52" i="13"/>
  <c r="G52" i="13" s="1"/>
  <c r="I52" i="13" s="1"/>
  <c r="E46" i="17"/>
  <c r="B47" i="17"/>
  <c r="D46" i="17"/>
  <c r="G46" i="17" s="1"/>
  <c r="K46" i="17"/>
  <c r="C46" i="17"/>
  <c r="F46" i="17" s="1"/>
  <c r="C47" i="14"/>
  <c r="D46" i="14"/>
  <c r="G45" i="15"/>
  <c r="J45" i="15" s="1"/>
  <c r="B51" i="16"/>
  <c r="C50" i="16"/>
  <c r="E50" i="16"/>
  <c r="D50" i="16"/>
  <c r="G50" i="16" s="1"/>
  <c r="I50" i="16" s="1"/>
  <c r="P44" i="17"/>
  <c r="A92" i="6"/>
  <c r="D91" i="6"/>
  <c r="C91" i="6"/>
  <c r="H91" i="6"/>
  <c r="G91" i="6"/>
  <c r="K91" i="6"/>
  <c r="J91" i="6"/>
  <c r="E91" i="6"/>
  <c r="F91" i="6"/>
  <c r="B91" i="6"/>
  <c r="L91" i="6"/>
  <c r="I91" i="6"/>
  <c r="N46" i="17" l="1"/>
  <c r="M46" i="17"/>
  <c r="P46" i="17" s="1"/>
  <c r="L46" i="17"/>
  <c r="O46" i="17" s="1"/>
  <c r="R46" i="17" s="1"/>
  <c r="I46" i="17" s="1"/>
  <c r="E53" i="13"/>
  <c r="B54" i="13"/>
  <c r="C53" i="13"/>
  <c r="F53" i="13" s="1"/>
  <c r="H53" i="13" s="1"/>
  <c r="D53" i="13"/>
  <c r="G53" i="13" s="1"/>
  <c r="I53" i="13" s="1"/>
  <c r="O48" i="3"/>
  <c r="E47" i="17"/>
  <c r="B48" i="17"/>
  <c r="K47" i="17"/>
  <c r="D47" i="17"/>
  <c r="G47" i="17" s="1"/>
  <c r="C47" i="17"/>
  <c r="F47" i="17" s="1"/>
  <c r="B52" i="16"/>
  <c r="D51" i="16"/>
  <c r="G51" i="16" s="1"/>
  <c r="I51" i="16" s="1"/>
  <c r="E51" i="16"/>
  <c r="C51" i="16"/>
  <c r="F51" i="16" s="1"/>
  <c r="H51" i="16" s="1"/>
  <c r="C55" i="7"/>
  <c r="G54" i="7"/>
  <c r="J54" i="7" s="1"/>
  <c r="H54" i="7"/>
  <c r="K54" i="7" s="1"/>
  <c r="L54" i="7"/>
  <c r="M49" i="16"/>
  <c r="C60" i="5"/>
  <c r="F59" i="5"/>
  <c r="K59" i="5"/>
  <c r="E59" i="5"/>
  <c r="H59" i="5" s="1"/>
  <c r="D59" i="5"/>
  <c r="G59" i="5" s="1"/>
  <c r="J59" i="5" s="1"/>
  <c r="G46" i="15"/>
  <c r="J46" i="15" s="1"/>
  <c r="C46" i="12"/>
  <c r="E46" i="12"/>
  <c r="B47" i="12"/>
  <c r="D46" i="12"/>
  <c r="N49" i="3"/>
  <c r="L49" i="3"/>
  <c r="M49" i="3"/>
  <c r="P49" i="3" s="1"/>
  <c r="D47" i="15"/>
  <c r="F47" i="15"/>
  <c r="E47" i="15"/>
  <c r="H47" i="15" s="1"/>
  <c r="H58" i="5"/>
  <c r="O58" i="5"/>
  <c r="N58" i="5"/>
  <c r="B49" i="15"/>
  <c r="C48" i="15"/>
  <c r="G45" i="12"/>
  <c r="G58" i="5"/>
  <c r="J58" i="5" s="1"/>
  <c r="P58" i="5" s="1"/>
  <c r="H46" i="15"/>
  <c r="K50" i="3"/>
  <c r="B51" i="3"/>
  <c r="E50" i="3"/>
  <c r="C50" i="3"/>
  <c r="F50" i="3" s="1"/>
  <c r="D50" i="3"/>
  <c r="G50" i="3" s="1"/>
  <c r="F50" i="16"/>
  <c r="H50" i="16" s="1"/>
  <c r="M50" i="16" s="1"/>
  <c r="A93" i="6"/>
  <c r="C48" i="14"/>
  <c r="D47" i="14"/>
  <c r="F49" i="3"/>
  <c r="B58" i="7"/>
  <c r="D57" i="7"/>
  <c r="I57" i="7" s="1"/>
  <c r="P48" i="3"/>
  <c r="F45" i="12"/>
  <c r="P45" i="17"/>
  <c r="K92" i="6"/>
  <c r="I92" i="6"/>
  <c r="G92" i="6"/>
  <c r="D92" i="6"/>
  <c r="F92" i="6"/>
  <c r="E92" i="6"/>
  <c r="B92" i="6"/>
  <c r="L92" i="6"/>
  <c r="C92" i="6"/>
  <c r="J92" i="6"/>
  <c r="H92" i="6"/>
  <c r="G47" i="15" l="1"/>
  <c r="J47" i="15" s="1"/>
  <c r="B48" i="12"/>
  <c r="C47" i="12"/>
  <c r="E47" i="12"/>
  <c r="D47" i="12"/>
  <c r="G47" i="12" s="1"/>
  <c r="F46" i="12"/>
  <c r="I46" i="12" s="1"/>
  <c r="D48" i="14"/>
  <c r="C49" i="14"/>
  <c r="I45" i="12"/>
  <c r="B52" i="3"/>
  <c r="C51" i="3"/>
  <c r="K51" i="3"/>
  <c r="E51" i="3"/>
  <c r="D51" i="3"/>
  <c r="G51" i="3" s="1"/>
  <c r="O49" i="3"/>
  <c r="R49" i="3" s="1"/>
  <c r="I49" i="3" s="1"/>
  <c r="C56" i="7"/>
  <c r="G55" i="7"/>
  <c r="J55" i="7" s="1"/>
  <c r="H55" i="7"/>
  <c r="K55" i="7" s="1"/>
  <c r="L55" i="7"/>
  <c r="E48" i="17"/>
  <c r="K48" i="17"/>
  <c r="B49" i="17"/>
  <c r="D48" i="17"/>
  <c r="G48" i="17" s="1"/>
  <c r="C48" i="17"/>
  <c r="M53" i="13"/>
  <c r="D48" i="15"/>
  <c r="F48" i="15"/>
  <c r="E48" i="15"/>
  <c r="H48" i="15" s="1"/>
  <c r="P59" i="5"/>
  <c r="L50" i="3"/>
  <c r="N50" i="3"/>
  <c r="M50" i="3"/>
  <c r="P50" i="3" s="1"/>
  <c r="O59" i="5"/>
  <c r="N59" i="5"/>
  <c r="M51" i="16"/>
  <c r="D58" i="7"/>
  <c r="I58" i="7" s="1"/>
  <c r="B59" i="7"/>
  <c r="C61" i="5"/>
  <c r="D60" i="5"/>
  <c r="K60" i="5"/>
  <c r="E60" i="5"/>
  <c r="F60" i="5"/>
  <c r="D52" i="16"/>
  <c r="G52" i="16" s="1"/>
  <c r="I52" i="16" s="1"/>
  <c r="B53" i="16"/>
  <c r="E52" i="16"/>
  <c r="C52" i="16"/>
  <c r="F52" i="16" s="1"/>
  <c r="H52" i="16" s="1"/>
  <c r="E54" i="13"/>
  <c r="B55" i="13"/>
  <c r="C54" i="13"/>
  <c r="F54" i="13" s="1"/>
  <c r="H54" i="13" s="1"/>
  <c r="D54" i="13"/>
  <c r="G54" i="13" s="1"/>
  <c r="I54" i="13" s="1"/>
  <c r="B50" i="15"/>
  <c r="C49" i="15"/>
  <c r="N47" i="17"/>
  <c r="M47" i="17"/>
  <c r="P47" i="17" s="1"/>
  <c r="L47" i="17"/>
  <c r="O47" i="17" s="1"/>
  <c r="R47" i="17" s="1"/>
  <c r="I47" i="17" s="1"/>
  <c r="A94" i="6"/>
  <c r="G46" i="12"/>
  <c r="R48" i="3"/>
  <c r="I48" i="3" s="1"/>
  <c r="B93" i="6"/>
  <c r="K93" i="6"/>
  <c r="F93" i="6"/>
  <c r="D93" i="6"/>
  <c r="H93" i="6"/>
  <c r="C93" i="6"/>
  <c r="J93" i="6"/>
  <c r="L93" i="6"/>
  <c r="I93" i="6"/>
  <c r="G93" i="6"/>
  <c r="E93" i="6"/>
  <c r="B51" i="15" l="1"/>
  <c r="C50" i="15"/>
  <c r="N60" i="5"/>
  <c r="O60" i="5"/>
  <c r="N51" i="3"/>
  <c r="L51" i="3"/>
  <c r="O51" i="3" s="1"/>
  <c r="R51" i="3" s="1"/>
  <c r="M51" i="3"/>
  <c r="P51" i="3" s="1"/>
  <c r="A95" i="6"/>
  <c r="H60" i="5"/>
  <c r="N48" i="17"/>
  <c r="M48" i="17"/>
  <c r="P48" i="17" s="1"/>
  <c r="L48" i="17"/>
  <c r="E55" i="13"/>
  <c r="B56" i="13"/>
  <c r="D55" i="13"/>
  <c r="G55" i="13" s="1"/>
  <c r="I55" i="13" s="1"/>
  <c r="C55" i="13"/>
  <c r="F55" i="13" s="1"/>
  <c r="H55" i="13" s="1"/>
  <c r="M55" i="13" s="1"/>
  <c r="F47" i="12"/>
  <c r="I47" i="12" s="1"/>
  <c r="M52" i="16"/>
  <c r="G48" i="15"/>
  <c r="J48" i="15" s="1"/>
  <c r="E52" i="3"/>
  <c r="K52" i="3"/>
  <c r="B53" i="3"/>
  <c r="C52" i="3"/>
  <c r="F52" i="3" s="1"/>
  <c r="D52" i="3"/>
  <c r="G52" i="3" s="1"/>
  <c r="E48" i="12"/>
  <c r="B49" i="12"/>
  <c r="D48" i="12"/>
  <c r="G48" i="12" s="1"/>
  <c r="C48" i="12"/>
  <c r="B60" i="7"/>
  <c r="D59" i="7"/>
  <c r="I59" i="7" s="1"/>
  <c r="E49" i="17"/>
  <c r="K49" i="17"/>
  <c r="B50" i="17"/>
  <c r="D49" i="17"/>
  <c r="G49" i="17" s="1"/>
  <c r="C49" i="17"/>
  <c r="M54" i="13"/>
  <c r="G60" i="5"/>
  <c r="F51" i="3"/>
  <c r="D61" i="5"/>
  <c r="K61" i="5"/>
  <c r="C62" i="5"/>
  <c r="F61" i="5"/>
  <c r="E61" i="5"/>
  <c r="D49" i="15"/>
  <c r="G49" i="15" s="1"/>
  <c r="F49" i="15"/>
  <c r="E49" i="15"/>
  <c r="H49" i="15" s="1"/>
  <c r="B54" i="16"/>
  <c r="C53" i="16"/>
  <c r="E53" i="16"/>
  <c r="D53" i="16"/>
  <c r="G53" i="16" s="1"/>
  <c r="I53" i="16" s="1"/>
  <c r="O50" i="3"/>
  <c r="R50" i="3" s="1"/>
  <c r="I50" i="3" s="1"/>
  <c r="F48" i="17"/>
  <c r="C57" i="7"/>
  <c r="G56" i="7"/>
  <c r="J56" i="7" s="1"/>
  <c r="H56" i="7"/>
  <c r="K56" i="7" s="1"/>
  <c r="L56" i="7"/>
  <c r="D49" i="14"/>
  <c r="C50" i="14"/>
  <c r="E94" i="6"/>
  <c r="L94" i="6"/>
  <c r="D94" i="6"/>
  <c r="F94" i="6"/>
  <c r="C94" i="6"/>
  <c r="B94" i="6"/>
  <c r="G94" i="6"/>
  <c r="J94" i="6"/>
  <c r="I94" i="6"/>
  <c r="K94" i="6"/>
  <c r="H94" i="6"/>
  <c r="D50" i="14" l="1"/>
  <c r="C51" i="14"/>
  <c r="F62" i="5"/>
  <c r="C63" i="5"/>
  <c r="E62" i="5"/>
  <c r="H62" i="5" s="1"/>
  <c r="K62" i="5"/>
  <c r="D62" i="5"/>
  <c r="G62" i="5" s="1"/>
  <c r="J62" i="5" s="1"/>
  <c r="E50" i="17"/>
  <c r="D50" i="17"/>
  <c r="B51" i="17"/>
  <c r="K50" i="17"/>
  <c r="C50" i="17"/>
  <c r="E49" i="12"/>
  <c r="B50" i="12"/>
  <c r="D49" i="12"/>
  <c r="G49" i="12" s="1"/>
  <c r="C49" i="12"/>
  <c r="F49" i="12" s="1"/>
  <c r="I49" i="12" s="1"/>
  <c r="O61" i="5"/>
  <c r="N61" i="5"/>
  <c r="C58" i="7"/>
  <c r="G57" i="7"/>
  <c r="J57" i="7" s="1"/>
  <c r="H57" i="7"/>
  <c r="K57" i="7" s="1"/>
  <c r="L57" i="7"/>
  <c r="J60" i="5"/>
  <c r="P60" i="5" s="1"/>
  <c r="B61" i="7"/>
  <c r="D60" i="7"/>
  <c r="I60" i="7" s="1"/>
  <c r="B54" i="3"/>
  <c r="E53" i="3"/>
  <c r="K53" i="3"/>
  <c r="D53" i="3"/>
  <c r="G53" i="3" s="1"/>
  <c r="C53" i="3"/>
  <c r="F53" i="3" s="1"/>
  <c r="B57" i="13"/>
  <c r="C56" i="13"/>
  <c r="F56" i="13" s="1"/>
  <c r="H56" i="13" s="1"/>
  <c r="E56" i="13"/>
  <c r="D56" i="13"/>
  <c r="G56" i="13" s="1"/>
  <c r="I56" i="13" s="1"/>
  <c r="F53" i="16"/>
  <c r="H53" i="16" s="1"/>
  <c r="M53" i="16" s="1"/>
  <c r="N49" i="17"/>
  <c r="M49" i="17"/>
  <c r="P49" i="17" s="1"/>
  <c r="L49" i="17"/>
  <c r="B55" i="16"/>
  <c r="D54" i="16"/>
  <c r="C54" i="16"/>
  <c r="E54" i="16"/>
  <c r="J49" i="15"/>
  <c r="N52" i="3"/>
  <c r="L52" i="3"/>
  <c r="M52" i="3"/>
  <c r="D50" i="15"/>
  <c r="F50" i="15"/>
  <c r="E50" i="15"/>
  <c r="H50" i="15" s="1"/>
  <c r="G61" i="5"/>
  <c r="J61" i="5" s="1"/>
  <c r="P61" i="5" s="1"/>
  <c r="I51" i="3"/>
  <c r="I48" i="17"/>
  <c r="H61" i="5"/>
  <c r="F49" i="17"/>
  <c r="F48" i="12"/>
  <c r="I48" i="12" s="1"/>
  <c r="O48" i="17"/>
  <c r="R48" i="17" s="1"/>
  <c r="A96" i="6"/>
  <c r="B52" i="15"/>
  <c r="C51" i="15"/>
  <c r="L95" i="6"/>
  <c r="K95" i="6"/>
  <c r="D95" i="6"/>
  <c r="J95" i="6"/>
  <c r="H95" i="6"/>
  <c r="G95" i="6"/>
  <c r="F95" i="6"/>
  <c r="E95" i="6"/>
  <c r="B95" i="6"/>
  <c r="C95" i="6"/>
  <c r="I95" i="6"/>
  <c r="A97" i="6" l="1"/>
  <c r="F54" i="16"/>
  <c r="H54" i="16" s="1"/>
  <c r="M54" i="16" s="1"/>
  <c r="K54" i="3"/>
  <c r="E54" i="3"/>
  <c r="B55" i="3"/>
  <c r="C54" i="3"/>
  <c r="D54" i="3"/>
  <c r="F50" i="17"/>
  <c r="E63" i="5"/>
  <c r="K63" i="5"/>
  <c r="D63" i="5"/>
  <c r="C64" i="5"/>
  <c r="F63" i="5"/>
  <c r="G50" i="15"/>
  <c r="J50" i="15" s="1"/>
  <c r="G54" i="16"/>
  <c r="I54" i="16" s="1"/>
  <c r="N50" i="17"/>
  <c r="M50" i="17"/>
  <c r="P50" i="17" s="1"/>
  <c r="L50" i="17"/>
  <c r="O50" i="17" s="1"/>
  <c r="R50" i="17" s="1"/>
  <c r="P62" i="5"/>
  <c r="O62" i="5"/>
  <c r="N62" i="5"/>
  <c r="P52" i="3"/>
  <c r="C55" i="16"/>
  <c r="D55" i="16"/>
  <c r="B56" i="16"/>
  <c r="E55" i="16"/>
  <c r="M56" i="13"/>
  <c r="E51" i="17"/>
  <c r="B52" i="17"/>
  <c r="D51" i="17"/>
  <c r="G51" i="17" s="1"/>
  <c r="K51" i="17"/>
  <c r="C51" i="17"/>
  <c r="F51" i="17" s="1"/>
  <c r="D51" i="14"/>
  <c r="C52" i="14"/>
  <c r="M53" i="3"/>
  <c r="L53" i="3"/>
  <c r="N53" i="3"/>
  <c r="E50" i="12"/>
  <c r="C50" i="12"/>
  <c r="F50" i="12" s="1"/>
  <c r="B51" i="12"/>
  <c r="D50" i="12"/>
  <c r="G50" i="12" s="1"/>
  <c r="H58" i="7"/>
  <c r="K58" i="7" s="1"/>
  <c r="G58" i="7"/>
  <c r="J58" i="7" s="1"/>
  <c r="C59" i="7"/>
  <c r="L58" i="7"/>
  <c r="F51" i="15"/>
  <c r="D51" i="15"/>
  <c r="G51" i="15" s="1"/>
  <c r="E51" i="15"/>
  <c r="H51" i="15" s="1"/>
  <c r="B53" i="15"/>
  <c r="C52" i="15"/>
  <c r="O52" i="3"/>
  <c r="O49" i="17"/>
  <c r="R49" i="17" s="1"/>
  <c r="I49" i="17" s="1"/>
  <c r="B58" i="13"/>
  <c r="C57" i="13"/>
  <c r="E57" i="13"/>
  <c r="D57" i="13"/>
  <c r="G57" i="13" s="1"/>
  <c r="I57" i="13" s="1"/>
  <c r="B62" i="7"/>
  <c r="D61" i="7"/>
  <c r="I61" i="7" s="1"/>
  <c r="G50" i="17"/>
  <c r="G96" i="6"/>
  <c r="H96" i="6"/>
  <c r="J96" i="6"/>
  <c r="F96" i="6"/>
  <c r="C96" i="6"/>
  <c r="I96" i="6"/>
  <c r="L96" i="6"/>
  <c r="D96" i="6"/>
  <c r="K96" i="6"/>
  <c r="B96" i="6"/>
  <c r="E96" i="6"/>
  <c r="C55" i="3" l="1"/>
  <c r="D55" i="3"/>
  <c r="K55" i="3"/>
  <c r="B56" i="3"/>
  <c r="E55" i="3"/>
  <c r="B52" i="12"/>
  <c r="E51" i="12"/>
  <c r="C51" i="12"/>
  <c r="F51" i="12" s="1"/>
  <c r="D51" i="12"/>
  <c r="C56" i="16"/>
  <c r="E56" i="16"/>
  <c r="B57" i="16"/>
  <c r="D56" i="16"/>
  <c r="G56" i="16" s="1"/>
  <c r="I56" i="16" s="1"/>
  <c r="J51" i="15"/>
  <c r="N51" i="17"/>
  <c r="M51" i="17"/>
  <c r="P51" i="17" s="1"/>
  <c r="L51" i="17"/>
  <c r="O63" i="5"/>
  <c r="N63" i="5"/>
  <c r="H59" i="7"/>
  <c r="K59" i="7" s="1"/>
  <c r="G59" i="7"/>
  <c r="J59" i="7" s="1"/>
  <c r="C60" i="7"/>
  <c r="L59" i="7"/>
  <c r="O53" i="3"/>
  <c r="B53" i="17"/>
  <c r="E52" i="17"/>
  <c r="D52" i="17"/>
  <c r="G52" i="17" s="1"/>
  <c r="K52" i="17"/>
  <c r="C52" i="17"/>
  <c r="F52" i="17" s="1"/>
  <c r="I50" i="17"/>
  <c r="D62" i="7"/>
  <c r="I62" i="7" s="1"/>
  <c r="B63" i="7"/>
  <c r="C65" i="5"/>
  <c r="F64" i="5"/>
  <c r="E64" i="5"/>
  <c r="H64" i="5" s="1"/>
  <c r="K64" i="5"/>
  <c r="D64" i="5"/>
  <c r="G64" i="5" s="1"/>
  <c r="J64" i="5" s="1"/>
  <c r="G55" i="16"/>
  <c r="I55" i="16" s="1"/>
  <c r="G63" i="5"/>
  <c r="F57" i="13"/>
  <c r="H57" i="13" s="1"/>
  <c r="M57" i="13" s="1"/>
  <c r="F55" i="16"/>
  <c r="H55" i="16" s="1"/>
  <c r="M55" i="16" s="1"/>
  <c r="R52" i="3"/>
  <c r="I52" i="3" s="1"/>
  <c r="G54" i="3"/>
  <c r="C53" i="15"/>
  <c r="B54" i="15"/>
  <c r="C53" i="14"/>
  <c r="D52" i="14"/>
  <c r="I50" i="12"/>
  <c r="L54" i="3"/>
  <c r="N54" i="3"/>
  <c r="M54" i="3"/>
  <c r="P54" i="3" s="1"/>
  <c r="E58" i="13"/>
  <c r="D58" i="13"/>
  <c r="B59" i="13"/>
  <c r="C58" i="13"/>
  <c r="H63" i="5"/>
  <c r="F52" i="15"/>
  <c r="E52" i="15"/>
  <c r="H52" i="15" s="1"/>
  <c r="D52" i="15"/>
  <c r="G52" i="15" s="1"/>
  <c r="J52" i="15" s="1"/>
  <c r="P53" i="3"/>
  <c r="F54" i="3"/>
  <c r="A98" i="6"/>
  <c r="G97" i="6"/>
  <c r="F97" i="6"/>
  <c r="I97" i="6"/>
  <c r="K97" i="6"/>
  <c r="B97" i="6"/>
  <c r="E97" i="6"/>
  <c r="C97" i="6"/>
  <c r="L97" i="6"/>
  <c r="D97" i="6"/>
  <c r="J97" i="6"/>
  <c r="H97" i="6"/>
  <c r="B55" i="15" l="1"/>
  <c r="C54" i="15"/>
  <c r="F53" i="15"/>
  <c r="E53" i="15"/>
  <c r="H53" i="15" s="1"/>
  <c r="D53" i="15"/>
  <c r="G53" i="15" s="1"/>
  <c r="J53" i="15" s="1"/>
  <c r="N52" i="17"/>
  <c r="M52" i="17"/>
  <c r="L52" i="17"/>
  <c r="D57" i="16"/>
  <c r="B58" i="16"/>
  <c r="C57" i="16"/>
  <c r="E57" i="16"/>
  <c r="C66" i="5"/>
  <c r="E65" i="5"/>
  <c r="D65" i="5"/>
  <c r="F65" i="5"/>
  <c r="K65" i="5"/>
  <c r="N55" i="3"/>
  <c r="M55" i="3"/>
  <c r="P55" i="3" s="1"/>
  <c r="L55" i="3"/>
  <c r="O55" i="3" s="1"/>
  <c r="R55" i="3" s="1"/>
  <c r="E59" i="13"/>
  <c r="C59" i="13"/>
  <c r="F59" i="13" s="1"/>
  <c r="H59" i="13" s="1"/>
  <c r="B60" i="13"/>
  <c r="D59" i="13"/>
  <c r="G59" i="13" s="1"/>
  <c r="I59" i="13" s="1"/>
  <c r="J63" i="5"/>
  <c r="P63" i="5" s="1"/>
  <c r="B54" i="17"/>
  <c r="E53" i="17"/>
  <c r="D53" i="17"/>
  <c r="G53" i="17" s="1"/>
  <c r="K53" i="17"/>
  <c r="C53" i="17"/>
  <c r="F53" i="17" s="1"/>
  <c r="O51" i="17"/>
  <c r="R51" i="17" s="1"/>
  <c r="I51" i="17" s="1"/>
  <c r="F56" i="16"/>
  <c r="H56" i="16" s="1"/>
  <c r="M56" i="16" s="1"/>
  <c r="G55" i="3"/>
  <c r="G60" i="7"/>
  <c r="J60" i="7" s="1"/>
  <c r="H60" i="7"/>
  <c r="K60" i="7" s="1"/>
  <c r="C61" i="7"/>
  <c r="L60" i="7"/>
  <c r="N64" i="5"/>
  <c r="O64" i="5"/>
  <c r="P64" i="5" s="1"/>
  <c r="C52" i="12"/>
  <c r="F52" i="12" s="1"/>
  <c r="I52" i="12" s="1"/>
  <c r="E52" i="12"/>
  <c r="B53" i="12"/>
  <c r="D52" i="12"/>
  <c r="G52" i="12" s="1"/>
  <c r="O54" i="3"/>
  <c r="R54" i="3" s="1"/>
  <c r="I54" i="3" s="1"/>
  <c r="E56" i="3"/>
  <c r="D56" i="3"/>
  <c r="G56" i="3" s="1"/>
  <c r="C56" i="3"/>
  <c r="F56" i="3" s="1"/>
  <c r="K56" i="3"/>
  <c r="B57" i="3"/>
  <c r="F58" i="13"/>
  <c r="H58" i="13" s="1"/>
  <c r="G58" i="13"/>
  <c r="I58" i="13" s="1"/>
  <c r="C54" i="14"/>
  <c r="D53" i="14"/>
  <c r="D63" i="7"/>
  <c r="I63" i="7" s="1"/>
  <c r="B64" i="7"/>
  <c r="R53" i="3"/>
  <c r="I53" i="3" s="1"/>
  <c r="G51" i="12"/>
  <c r="I51" i="12" s="1"/>
  <c r="F55" i="3"/>
  <c r="I98" i="6"/>
  <c r="B98" i="6"/>
  <c r="D98" i="6"/>
  <c r="J98" i="6"/>
  <c r="E98" i="6"/>
  <c r="L98" i="6"/>
  <c r="F98" i="6"/>
  <c r="G98" i="6"/>
  <c r="H98" i="6"/>
  <c r="C98" i="6"/>
  <c r="K98" i="6"/>
  <c r="E66" i="5" l="1"/>
  <c r="D66" i="5"/>
  <c r="C67" i="5"/>
  <c r="K66" i="5"/>
  <c r="F66" i="5"/>
  <c r="C55" i="14"/>
  <c r="D55" i="14" s="1"/>
  <c r="D54" i="14"/>
  <c r="I55" i="3"/>
  <c r="E60" i="13"/>
  <c r="B61" i="13"/>
  <c r="D60" i="13"/>
  <c r="G60" i="13" s="1"/>
  <c r="I60" i="13" s="1"/>
  <c r="C60" i="13"/>
  <c r="F60" i="13" s="1"/>
  <c r="H60" i="13" s="1"/>
  <c r="M60" i="13" s="1"/>
  <c r="F57" i="16"/>
  <c r="H57" i="16" s="1"/>
  <c r="M59" i="13"/>
  <c r="G61" i="7"/>
  <c r="J61" i="7" s="1"/>
  <c r="H61" i="7"/>
  <c r="K61" i="7" s="1"/>
  <c r="L61" i="7" s="1"/>
  <c r="C62" i="7"/>
  <c r="N53" i="17"/>
  <c r="M53" i="17"/>
  <c r="P53" i="17" s="1"/>
  <c r="L53" i="17"/>
  <c r="O53" i="17" s="1"/>
  <c r="R53" i="17" s="1"/>
  <c r="I53" i="17" s="1"/>
  <c r="G57" i="16"/>
  <c r="I57" i="16" s="1"/>
  <c r="M58" i="13"/>
  <c r="B54" i="12"/>
  <c r="C53" i="12"/>
  <c r="E53" i="12"/>
  <c r="D53" i="12"/>
  <c r="G53" i="12" s="1"/>
  <c r="G65" i="5"/>
  <c r="J65" i="5" s="1"/>
  <c r="P65" i="5" s="1"/>
  <c r="P52" i="17"/>
  <c r="E54" i="15"/>
  <c r="F54" i="15"/>
  <c r="D54" i="15"/>
  <c r="N56" i="3"/>
  <c r="L56" i="3"/>
  <c r="O56" i="3" s="1"/>
  <c r="R56" i="3" s="1"/>
  <c r="I56" i="3" s="1"/>
  <c r="M56" i="3"/>
  <c r="P56" i="3" s="1"/>
  <c r="C58" i="16"/>
  <c r="F58" i="16" s="1"/>
  <c r="H58" i="16" s="1"/>
  <c r="M58" i="16" s="1"/>
  <c r="B59" i="16"/>
  <c r="E58" i="16"/>
  <c r="D58" i="16"/>
  <c r="G58" i="16" s="1"/>
  <c r="I58" i="16" s="1"/>
  <c r="N65" i="5"/>
  <c r="O65" i="5"/>
  <c r="O52" i="17"/>
  <c r="R52" i="17" s="1"/>
  <c r="I52" i="17" s="1"/>
  <c r="B65" i="7"/>
  <c r="D64" i="7"/>
  <c r="I64" i="7" s="1"/>
  <c r="B58" i="3"/>
  <c r="E57" i="3"/>
  <c r="K57" i="3"/>
  <c r="D57" i="3"/>
  <c r="G57" i="3" s="1"/>
  <c r="C57" i="3"/>
  <c r="F57" i="3" s="1"/>
  <c r="E54" i="17"/>
  <c r="B55" i="17"/>
  <c r="D54" i="17"/>
  <c r="K54" i="17"/>
  <c r="C54" i="17"/>
  <c r="H65" i="5"/>
  <c r="B56" i="15"/>
  <c r="C55" i="15"/>
  <c r="E55" i="17" l="1"/>
  <c r="B56" i="17"/>
  <c r="K55" i="17"/>
  <c r="D55" i="17"/>
  <c r="G55" i="17" s="1"/>
  <c r="C55" i="17"/>
  <c r="F55" i="17" s="1"/>
  <c r="B57" i="15"/>
  <c r="C56" i="15"/>
  <c r="D55" i="15"/>
  <c r="G55" i="15" s="1"/>
  <c r="F55" i="15"/>
  <c r="E55" i="15"/>
  <c r="B66" i="7"/>
  <c r="D65" i="7"/>
  <c r="I65" i="7" s="1"/>
  <c r="H54" i="15"/>
  <c r="M57" i="16"/>
  <c r="L57" i="3"/>
  <c r="N57" i="3"/>
  <c r="M57" i="3"/>
  <c r="P57" i="3" s="1"/>
  <c r="N66" i="5"/>
  <c r="O66" i="5"/>
  <c r="F54" i="17"/>
  <c r="C68" i="5"/>
  <c r="F67" i="5"/>
  <c r="K67" i="5"/>
  <c r="E67" i="5"/>
  <c r="H67" i="5" s="1"/>
  <c r="D67" i="5"/>
  <c r="G67" i="5" s="1"/>
  <c r="J67" i="5" s="1"/>
  <c r="N54" i="17"/>
  <c r="M54" i="17"/>
  <c r="P54" i="17" s="1"/>
  <c r="L54" i="17"/>
  <c r="O54" i="17" s="1"/>
  <c r="R54" i="17" s="1"/>
  <c r="K58" i="3"/>
  <c r="B59" i="3"/>
  <c r="C58" i="3"/>
  <c r="E58" i="3"/>
  <c r="D58" i="3"/>
  <c r="G58" i="3" s="1"/>
  <c r="F53" i="12"/>
  <c r="I53" i="12" s="1"/>
  <c r="B62" i="13"/>
  <c r="D61" i="13"/>
  <c r="G61" i="13" s="1"/>
  <c r="I61" i="13" s="1"/>
  <c r="E61" i="13"/>
  <c r="C61" i="13"/>
  <c r="F61" i="13" s="1"/>
  <c r="H61" i="13" s="1"/>
  <c r="G66" i="5"/>
  <c r="J66" i="5" s="1"/>
  <c r="G54" i="17"/>
  <c r="B60" i="16"/>
  <c r="E59" i="16"/>
  <c r="C59" i="16"/>
  <c r="F59" i="16" s="1"/>
  <c r="H59" i="16" s="1"/>
  <c r="D59" i="16"/>
  <c r="G59" i="16" s="1"/>
  <c r="I59" i="16" s="1"/>
  <c r="G54" i="15"/>
  <c r="B55" i="12"/>
  <c r="C54" i="12"/>
  <c r="E54" i="12"/>
  <c r="D54" i="12"/>
  <c r="G54" i="12" s="1"/>
  <c r="G62" i="7"/>
  <c r="J62" i="7" s="1"/>
  <c r="H62" i="7"/>
  <c r="K62" i="7" s="1"/>
  <c r="L62" i="7" s="1"/>
  <c r="C63" i="7"/>
  <c r="H66" i="5"/>
  <c r="I54" i="17" l="1"/>
  <c r="B67" i="7"/>
  <c r="D66" i="7"/>
  <c r="I66" i="7" s="1"/>
  <c r="M59" i="16"/>
  <c r="P67" i="5"/>
  <c r="N55" i="17"/>
  <c r="M55" i="17"/>
  <c r="P55" i="17" s="1"/>
  <c r="L55" i="17"/>
  <c r="C64" i="7"/>
  <c r="G63" i="7"/>
  <c r="J63" i="7" s="1"/>
  <c r="H63" i="7"/>
  <c r="K63" i="7" s="1"/>
  <c r="L63" i="7"/>
  <c r="C69" i="5"/>
  <c r="E68" i="5"/>
  <c r="H68" i="5" s="1"/>
  <c r="K68" i="5"/>
  <c r="D68" i="5"/>
  <c r="F68" i="5"/>
  <c r="B63" i="13"/>
  <c r="E62" i="13"/>
  <c r="C62" i="13"/>
  <c r="F62" i="13" s="1"/>
  <c r="H62" i="13" s="1"/>
  <c r="D62" i="13"/>
  <c r="G62" i="13" s="1"/>
  <c r="I62" i="13" s="1"/>
  <c r="B58" i="15"/>
  <c r="C57" i="15"/>
  <c r="B61" i="16"/>
  <c r="D60" i="16"/>
  <c r="C60" i="16"/>
  <c r="E60" i="16"/>
  <c r="P66" i="5"/>
  <c r="F58" i="3"/>
  <c r="B56" i="12"/>
  <c r="E55" i="12"/>
  <c r="C55" i="12"/>
  <c r="F55" i="12" s="1"/>
  <c r="D55" i="12"/>
  <c r="G55" i="12" s="1"/>
  <c r="M61" i="13"/>
  <c r="B60" i="3"/>
  <c r="C59" i="3"/>
  <c r="F59" i="3" s="1"/>
  <c r="K59" i="3"/>
  <c r="D59" i="3"/>
  <c r="G59" i="3" s="1"/>
  <c r="E59" i="3"/>
  <c r="N67" i="5"/>
  <c r="O67" i="5"/>
  <c r="H55" i="15"/>
  <c r="J55" i="15" s="1"/>
  <c r="E56" i="17"/>
  <c r="K56" i="17"/>
  <c r="B57" i="17"/>
  <c r="D56" i="17"/>
  <c r="G56" i="17" s="1"/>
  <c r="C56" i="17"/>
  <c r="F56" i="15"/>
  <c r="E56" i="15"/>
  <c r="H56" i="15" s="1"/>
  <c r="D56" i="15"/>
  <c r="G56" i="15" s="1"/>
  <c r="J56" i="15" s="1"/>
  <c r="F54" i="12"/>
  <c r="I54" i="12" s="1"/>
  <c r="J54" i="15"/>
  <c r="M58" i="3"/>
  <c r="L58" i="3"/>
  <c r="N58" i="3"/>
  <c r="O57" i="3"/>
  <c r="R57" i="3" s="1"/>
  <c r="I57" i="3" s="1"/>
  <c r="E56" i="12" l="1"/>
  <c r="D56" i="12"/>
  <c r="G56" i="12" s="1"/>
  <c r="B57" i="12"/>
  <c r="C56" i="12"/>
  <c r="F56" i="12" s="1"/>
  <c r="I56" i="12" s="1"/>
  <c r="N56" i="17"/>
  <c r="M56" i="17"/>
  <c r="P56" i="17" s="1"/>
  <c r="L56" i="17"/>
  <c r="O56" i="17" s="1"/>
  <c r="R56" i="17" s="1"/>
  <c r="B59" i="15"/>
  <c r="C58" i="15"/>
  <c r="E57" i="17"/>
  <c r="B58" i="17"/>
  <c r="K57" i="17"/>
  <c r="D57" i="17"/>
  <c r="G57" i="17" s="1"/>
  <c r="C57" i="17"/>
  <c r="F57" i="17" s="1"/>
  <c r="M62" i="13"/>
  <c r="N59" i="3"/>
  <c r="L59" i="3"/>
  <c r="O59" i="3" s="1"/>
  <c r="R59" i="3" s="1"/>
  <c r="I59" i="3" s="1"/>
  <c r="M59" i="3"/>
  <c r="P59" i="3" s="1"/>
  <c r="K69" i="5"/>
  <c r="D69" i="5"/>
  <c r="G69" i="5" s="1"/>
  <c r="C70" i="5"/>
  <c r="E69" i="5"/>
  <c r="H69" i="5" s="1"/>
  <c r="F69" i="5"/>
  <c r="F60" i="16"/>
  <c r="H60" i="16" s="1"/>
  <c r="M60" i="16" s="1"/>
  <c r="G60" i="16"/>
  <c r="I60" i="16" s="1"/>
  <c r="O58" i="3"/>
  <c r="G68" i="5"/>
  <c r="J68" i="5" s="1"/>
  <c r="P68" i="5" s="1"/>
  <c r="O55" i="17"/>
  <c r="R55" i="17" s="1"/>
  <c r="I55" i="17" s="1"/>
  <c r="E60" i="3"/>
  <c r="D60" i="3"/>
  <c r="G60" i="3" s="1"/>
  <c r="K60" i="3"/>
  <c r="C60" i="3"/>
  <c r="F60" i="3" s="1"/>
  <c r="B61" i="3"/>
  <c r="E63" i="13"/>
  <c r="B64" i="13"/>
  <c r="D63" i="13"/>
  <c r="G63" i="13" s="1"/>
  <c r="I63" i="13" s="1"/>
  <c r="C63" i="13"/>
  <c r="C65" i="7"/>
  <c r="G64" i="7"/>
  <c r="J64" i="7" s="1"/>
  <c r="H64" i="7"/>
  <c r="K64" i="7" s="1"/>
  <c r="L64" i="7"/>
  <c r="B68" i="7"/>
  <c r="D67" i="7"/>
  <c r="I67" i="7" s="1"/>
  <c r="I55" i="12"/>
  <c r="B62" i="16"/>
  <c r="C61" i="16"/>
  <c r="E61" i="16"/>
  <c r="D61" i="16"/>
  <c r="G61" i="16" s="1"/>
  <c r="I61" i="16" s="1"/>
  <c r="P58" i="3"/>
  <c r="F56" i="17"/>
  <c r="D57" i="15"/>
  <c r="G57" i="15" s="1"/>
  <c r="J57" i="15" s="1"/>
  <c r="F57" i="15"/>
  <c r="E57" i="15"/>
  <c r="H57" i="15" s="1"/>
  <c r="O68" i="5"/>
  <c r="N68" i="5"/>
  <c r="B69" i="7" l="1"/>
  <c r="D68" i="7"/>
  <c r="I68" i="7" s="1"/>
  <c r="R58" i="3"/>
  <c r="I58" i="3" s="1"/>
  <c r="E58" i="17"/>
  <c r="B59" i="17"/>
  <c r="D58" i="17"/>
  <c r="G58" i="17" s="1"/>
  <c r="K58" i="17"/>
  <c r="C58" i="17"/>
  <c r="L60" i="3"/>
  <c r="N60" i="3"/>
  <c r="M60" i="3"/>
  <c r="P60" i="3" s="1"/>
  <c r="E57" i="12"/>
  <c r="B58" i="12"/>
  <c r="C57" i="12"/>
  <c r="D57" i="12"/>
  <c r="I56" i="17"/>
  <c r="E70" i="5"/>
  <c r="C71" i="5"/>
  <c r="F70" i="5"/>
  <c r="K70" i="5"/>
  <c r="D70" i="5"/>
  <c r="N57" i="17"/>
  <c r="M57" i="17"/>
  <c r="P57" i="17" s="1"/>
  <c r="L57" i="17"/>
  <c r="O57" i="17" s="1"/>
  <c r="R57" i="17" s="1"/>
  <c r="I57" i="17" s="1"/>
  <c r="F61" i="16"/>
  <c r="H61" i="16" s="1"/>
  <c r="M61" i="16" s="1"/>
  <c r="B63" i="16"/>
  <c r="C62" i="16"/>
  <c r="F62" i="16" s="1"/>
  <c r="H62" i="16" s="1"/>
  <c r="M62" i="16" s="1"/>
  <c r="E62" i="16"/>
  <c r="D62" i="16"/>
  <c r="G62" i="16" s="1"/>
  <c r="I62" i="16" s="1"/>
  <c r="F58" i="15"/>
  <c r="E58" i="15"/>
  <c r="D58" i="15"/>
  <c r="G58" i="15" s="1"/>
  <c r="E64" i="13"/>
  <c r="B65" i="13"/>
  <c r="D64" i="13"/>
  <c r="G64" i="13" s="1"/>
  <c r="I64" i="13" s="1"/>
  <c r="C64" i="13"/>
  <c r="J69" i="5"/>
  <c r="E61" i="3"/>
  <c r="K61" i="3"/>
  <c r="D61" i="3"/>
  <c r="G61" i="3" s="1"/>
  <c r="B62" i="3"/>
  <c r="C61" i="3"/>
  <c r="F61" i="3" s="1"/>
  <c r="O69" i="5"/>
  <c r="N69" i="5"/>
  <c r="C66" i="7"/>
  <c r="G65" i="7"/>
  <c r="J65" i="7" s="1"/>
  <c r="H65" i="7"/>
  <c r="K65" i="7" s="1"/>
  <c r="L65" i="7"/>
  <c r="F63" i="13"/>
  <c r="H63" i="13" s="1"/>
  <c r="M63" i="13" s="1"/>
  <c r="B60" i="15"/>
  <c r="C59" i="15"/>
  <c r="B66" i="13" l="1"/>
  <c r="E65" i="13"/>
  <c r="C65" i="13"/>
  <c r="F65" i="13" s="1"/>
  <c r="H65" i="13" s="1"/>
  <c r="M65" i="13" s="1"/>
  <c r="D65" i="13"/>
  <c r="G65" i="13" s="1"/>
  <c r="I65" i="13" s="1"/>
  <c r="L61" i="3"/>
  <c r="N61" i="3"/>
  <c r="M61" i="3"/>
  <c r="P61" i="3" s="1"/>
  <c r="H58" i="15"/>
  <c r="H70" i="5"/>
  <c r="G57" i="12"/>
  <c r="O70" i="5"/>
  <c r="N70" i="5"/>
  <c r="B61" i="15"/>
  <c r="C60" i="15"/>
  <c r="D63" i="16"/>
  <c r="G63" i="16" s="1"/>
  <c r="I63" i="16" s="1"/>
  <c r="B64" i="16"/>
  <c r="C63" i="16"/>
  <c r="E63" i="16"/>
  <c r="E59" i="17"/>
  <c r="D59" i="17"/>
  <c r="G59" i="17" s="1"/>
  <c r="K59" i="17"/>
  <c r="B60" i="17"/>
  <c r="C59" i="17"/>
  <c r="F59" i="17" s="1"/>
  <c r="K62" i="3"/>
  <c r="E62" i="3"/>
  <c r="C62" i="3"/>
  <c r="F62" i="3" s="1"/>
  <c r="B63" i="3"/>
  <c r="D62" i="3"/>
  <c r="G62" i="3" s="1"/>
  <c r="E71" i="5"/>
  <c r="H71" i="5" s="1"/>
  <c r="D71" i="5"/>
  <c r="G71" i="5" s="1"/>
  <c r="J71" i="5" s="1"/>
  <c r="K71" i="5"/>
  <c r="C72" i="5"/>
  <c r="F71" i="5"/>
  <c r="C67" i="7"/>
  <c r="H66" i="7"/>
  <c r="K66" i="7" s="1"/>
  <c r="G66" i="7"/>
  <c r="J66" i="7" s="1"/>
  <c r="L66" i="7"/>
  <c r="P69" i="5"/>
  <c r="F57" i="12"/>
  <c r="I57" i="12" s="1"/>
  <c r="F58" i="17"/>
  <c r="F59" i="15"/>
  <c r="D59" i="15"/>
  <c r="G59" i="15" s="1"/>
  <c r="E59" i="15"/>
  <c r="H59" i="15" s="1"/>
  <c r="J58" i="15"/>
  <c r="O60" i="3"/>
  <c r="R60" i="3" s="1"/>
  <c r="I60" i="3" s="1"/>
  <c r="F64" i="13"/>
  <c r="H64" i="13" s="1"/>
  <c r="M64" i="13" s="1"/>
  <c r="G70" i="5"/>
  <c r="J70" i="5" s="1"/>
  <c r="E58" i="12"/>
  <c r="C58" i="12"/>
  <c r="F58" i="12" s="1"/>
  <c r="B59" i="12"/>
  <c r="D58" i="12"/>
  <c r="G58" i="12" s="1"/>
  <c r="N58" i="17"/>
  <c r="M58" i="17"/>
  <c r="P58" i="17" s="1"/>
  <c r="L58" i="17"/>
  <c r="B70" i="7"/>
  <c r="D69" i="7"/>
  <c r="I69" i="7" s="1"/>
  <c r="N71" i="5" l="1"/>
  <c r="O71" i="5"/>
  <c r="F60" i="15"/>
  <c r="E60" i="15"/>
  <c r="D60" i="15"/>
  <c r="G60" i="15" s="1"/>
  <c r="N59" i="17"/>
  <c r="M59" i="17"/>
  <c r="P59" i="17" s="1"/>
  <c r="L59" i="17"/>
  <c r="O61" i="3"/>
  <c r="R61" i="3" s="1"/>
  <c r="I61" i="3" s="1"/>
  <c r="C63" i="3"/>
  <c r="K63" i="3"/>
  <c r="D63" i="3"/>
  <c r="B64" i="3"/>
  <c r="E63" i="3"/>
  <c r="C61" i="15"/>
  <c r="B62" i="15"/>
  <c r="E59" i="12"/>
  <c r="B60" i="12"/>
  <c r="D59" i="12"/>
  <c r="G59" i="12" s="1"/>
  <c r="C59" i="12"/>
  <c r="F59" i="12" s="1"/>
  <c r="I59" i="12" s="1"/>
  <c r="J59" i="15"/>
  <c r="D70" i="7"/>
  <c r="I70" i="7" s="1"/>
  <c r="B71" i="7"/>
  <c r="F63" i="16"/>
  <c r="H63" i="16" s="1"/>
  <c r="M63" i="16" s="1"/>
  <c r="P71" i="5"/>
  <c r="B61" i="17"/>
  <c r="E60" i="17"/>
  <c r="D60" i="17"/>
  <c r="G60" i="17" s="1"/>
  <c r="K60" i="17"/>
  <c r="C60" i="17"/>
  <c r="I58" i="12"/>
  <c r="H67" i="7"/>
  <c r="K67" i="7" s="1"/>
  <c r="C68" i="7"/>
  <c r="G67" i="7"/>
  <c r="J67" i="7" s="1"/>
  <c r="L67" i="7"/>
  <c r="O58" i="17"/>
  <c r="R58" i="17" s="1"/>
  <c r="I58" i="17" s="1"/>
  <c r="P70" i="5"/>
  <c r="F72" i="5"/>
  <c r="E72" i="5"/>
  <c r="H72" i="5" s="1"/>
  <c r="K72" i="5"/>
  <c r="D72" i="5"/>
  <c r="G72" i="5" s="1"/>
  <c r="J72" i="5" s="1"/>
  <c r="N62" i="3"/>
  <c r="M62" i="3"/>
  <c r="P62" i="3" s="1"/>
  <c r="L62" i="3"/>
  <c r="C64" i="16"/>
  <c r="F64" i="16" s="1"/>
  <c r="H64" i="16" s="1"/>
  <c r="E64" i="16"/>
  <c r="B65" i="16"/>
  <c r="D64" i="16"/>
  <c r="G64" i="16" s="1"/>
  <c r="I64" i="16" s="1"/>
  <c r="E66" i="13"/>
  <c r="D66" i="13"/>
  <c r="G66" i="13" s="1"/>
  <c r="I66" i="13" s="1"/>
  <c r="B67" i="13"/>
  <c r="C66" i="13"/>
  <c r="C69" i="7" l="1"/>
  <c r="H68" i="7"/>
  <c r="K68" i="7" s="1"/>
  <c r="G68" i="7"/>
  <c r="J68" i="7" s="1"/>
  <c r="L68" i="7" s="1"/>
  <c r="B61" i="12"/>
  <c r="E60" i="12"/>
  <c r="C60" i="12"/>
  <c r="F60" i="12" s="1"/>
  <c r="D60" i="12"/>
  <c r="G60" i="12" s="1"/>
  <c r="N63" i="3"/>
  <c r="L63" i="3"/>
  <c r="O63" i="3" s="1"/>
  <c r="R63" i="3" s="1"/>
  <c r="M63" i="3"/>
  <c r="P63" i="3" s="1"/>
  <c r="H60" i="15"/>
  <c r="F61" i="15"/>
  <c r="E61" i="15"/>
  <c r="H61" i="15" s="1"/>
  <c r="D61" i="15"/>
  <c r="G61" i="15" s="1"/>
  <c r="J61" i="15" s="1"/>
  <c r="B62" i="17"/>
  <c r="E61" i="17"/>
  <c r="D61" i="17"/>
  <c r="G61" i="17" s="1"/>
  <c r="K61" i="17"/>
  <c r="C61" i="17"/>
  <c r="F61" i="17" s="1"/>
  <c r="K64" i="3"/>
  <c r="C64" i="3"/>
  <c r="E64" i="3"/>
  <c r="D64" i="3"/>
  <c r="B65" i="3"/>
  <c r="D65" i="16"/>
  <c r="B66" i="16"/>
  <c r="C65" i="16"/>
  <c r="E65" i="16"/>
  <c r="M64" i="16"/>
  <c r="F63" i="3"/>
  <c r="G63" i="3"/>
  <c r="F66" i="13"/>
  <c r="H66" i="13" s="1"/>
  <c r="M66" i="13" s="1"/>
  <c r="N72" i="5"/>
  <c r="O72" i="5"/>
  <c r="P72" i="5" s="1"/>
  <c r="J60" i="15"/>
  <c r="F60" i="17"/>
  <c r="C67" i="13"/>
  <c r="F67" i="13" s="1"/>
  <c r="H67" i="13" s="1"/>
  <c r="M67" i="13" s="1"/>
  <c r="E67" i="13"/>
  <c r="B68" i="13"/>
  <c r="D67" i="13"/>
  <c r="G67" i="13" s="1"/>
  <c r="I67" i="13" s="1"/>
  <c r="O62" i="3"/>
  <c r="R62" i="3" s="1"/>
  <c r="I62" i="3" s="1"/>
  <c r="N60" i="17"/>
  <c r="M60" i="17"/>
  <c r="P60" i="17" s="1"/>
  <c r="L60" i="17"/>
  <c r="O60" i="17" s="1"/>
  <c r="R60" i="17" s="1"/>
  <c r="D71" i="7"/>
  <c r="I71" i="7" s="1"/>
  <c r="B72" i="7"/>
  <c r="B63" i="15"/>
  <c r="C62" i="15"/>
  <c r="O59" i="17"/>
  <c r="R59" i="17" s="1"/>
  <c r="I59" i="17" s="1"/>
  <c r="I60" i="17" l="1"/>
  <c r="F64" i="3"/>
  <c r="F65" i="16"/>
  <c r="H65" i="16" s="1"/>
  <c r="B64" i="15"/>
  <c r="C63" i="15"/>
  <c r="C66" i="16"/>
  <c r="B67" i="16"/>
  <c r="E66" i="16"/>
  <c r="D66" i="16"/>
  <c r="N61" i="17"/>
  <c r="M61" i="17"/>
  <c r="P61" i="17" s="1"/>
  <c r="L61" i="17"/>
  <c r="O61" i="17" s="1"/>
  <c r="R61" i="17" s="1"/>
  <c r="I61" i="17" s="1"/>
  <c r="I63" i="3"/>
  <c r="I60" i="12"/>
  <c r="D72" i="7"/>
  <c r="I72" i="7" s="1"/>
  <c r="B73" i="7"/>
  <c r="L64" i="3"/>
  <c r="N64" i="3"/>
  <c r="M64" i="3"/>
  <c r="P64" i="3" s="1"/>
  <c r="G65" i="16"/>
  <c r="I65" i="16" s="1"/>
  <c r="E68" i="13"/>
  <c r="B69" i="13"/>
  <c r="C68" i="13"/>
  <c r="F68" i="13" s="1"/>
  <c r="H68" i="13" s="1"/>
  <c r="D68" i="13"/>
  <c r="G68" i="13" s="1"/>
  <c r="I68" i="13" s="1"/>
  <c r="F62" i="15"/>
  <c r="E62" i="15"/>
  <c r="H62" i="15" s="1"/>
  <c r="D62" i="15"/>
  <c r="G62" i="15" s="1"/>
  <c r="J62" i="15" s="1"/>
  <c r="B62" i="12"/>
  <c r="E61" i="12"/>
  <c r="D61" i="12"/>
  <c r="G61" i="12" s="1"/>
  <c r="C61" i="12"/>
  <c r="F61" i="12" s="1"/>
  <c r="I61" i="12" s="1"/>
  <c r="K65" i="3"/>
  <c r="E65" i="3"/>
  <c r="D65" i="3"/>
  <c r="G65" i="3" s="1"/>
  <c r="C65" i="3"/>
  <c r="F65" i="3" s="1"/>
  <c r="G64" i="3"/>
  <c r="E62" i="17"/>
  <c r="B63" i="17"/>
  <c r="D62" i="17"/>
  <c r="G62" i="17" s="1"/>
  <c r="K62" i="17"/>
  <c r="C62" i="17"/>
  <c r="F62" i="17" s="1"/>
  <c r="C70" i="7"/>
  <c r="G69" i="7"/>
  <c r="J69" i="7" s="1"/>
  <c r="H69" i="7"/>
  <c r="K69" i="7" s="1"/>
  <c r="L69" i="7" s="1"/>
  <c r="B63" i="12" l="1"/>
  <c r="C62" i="12"/>
  <c r="E62" i="12"/>
  <c r="D62" i="12"/>
  <c r="G62" i="12" s="1"/>
  <c r="E63" i="15"/>
  <c r="D63" i="15"/>
  <c r="F63" i="15"/>
  <c r="N62" i="17"/>
  <c r="M62" i="17"/>
  <c r="L62" i="17"/>
  <c r="O64" i="3"/>
  <c r="R64" i="3" s="1"/>
  <c r="I64" i="3" s="1"/>
  <c r="M68" i="13"/>
  <c r="M65" i="16"/>
  <c r="B68" i="16"/>
  <c r="E67" i="16"/>
  <c r="C67" i="16"/>
  <c r="D67" i="16"/>
  <c r="C71" i="7"/>
  <c r="H70" i="7"/>
  <c r="K70" i="7" s="1"/>
  <c r="G70" i="7"/>
  <c r="J70" i="7" s="1"/>
  <c r="L70" i="7"/>
  <c r="E63" i="17"/>
  <c r="B64" i="17"/>
  <c r="K63" i="17"/>
  <c r="D63" i="17"/>
  <c r="C63" i="17"/>
  <c r="B70" i="13"/>
  <c r="E69" i="13"/>
  <c r="D69" i="13"/>
  <c r="G69" i="13" s="1"/>
  <c r="I69" i="13" s="1"/>
  <c r="C69" i="13"/>
  <c r="F69" i="13" s="1"/>
  <c r="H69" i="13" s="1"/>
  <c r="M69" i="13" s="1"/>
  <c r="F66" i="16"/>
  <c r="H66" i="16" s="1"/>
  <c r="L65" i="3"/>
  <c r="N65" i="3"/>
  <c r="M65" i="3"/>
  <c r="P65" i="3" s="1"/>
  <c r="B65" i="15"/>
  <c r="C65" i="15" s="1"/>
  <c r="C64" i="15"/>
  <c r="D73" i="7"/>
  <c r="I73" i="7" s="1"/>
  <c r="G66" i="16"/>
  <c r="I66" i="16" s="1"/>
  <c r="F65" i="15" l="1"/>
  <c r="E65" i="15"/>
  <c r="H65" i="15" s="1"/>
  <c r="D65" i="15"/>
  <c r="G65" i="15" s="1"/>
  <c r="D68" i="16"/>
  <c r="C68" i="16"/>
  <c r="B69" i="16"/>
  <c r="E68" i="16"/>
  <c r="G63" i="15"/>
  <c r="J63" i="15" s="1"/>
  <c r="F63" i="17"/>
  <c r="G63" i="17"/>
  <c r="C72" i="7"/>
  <c r="G71" i="7"/>
  <c r="J71" i="7" s="1"/>
  <c r="H71" i="7"/>
  <c r="K71" i="7" s="1"/>
  <c r="L71" i="7"/>
  <c r="N63" i="17"/>
  <c r="M63" i="17"/>
  <c r="P63" i="17" s="1"/>
  <c r="L63" i="17"/>
  <c r="G67" i="16"/>
  <c r="I67" i="16" s="1"/>
  <c r="P62" i="17"/>
  <c r="F62" i="12"/>
  <c r="I62" i="12" s="1"/>
  <c r="B71" i="13"/>
  <c r="C70" i="13"/>
  <c r="E70" i="13"/>
  <c r="D70" i="13"/>
  <c r="H63" i="15"/>
  <c r="O65" i="3"/>
  <c r="R65" i="3" s="1"/>
  <c r="I65" i="3" s="1"/>
  <c r="M66" i="16"/>
  <c r="O62" i="17"/>
  <c r="R62" i="17" s="1"/>
  <c r="I62" i="17" s="1"/>
  <c r="F64" i="15"/>
  <c r="D64" i="15"/>
  <c r="G64" i="15" s="1"/>
  <c r="E64" i="15"/>
  <c r="H64" i="15" s="1"/>
  <c r="E64" i="17"/>
  <c r="K64" i="17"/>
  <c r="B65" i="17"/>
  <c r="D64" i="17"/>
  <c r="G64" i="17" s="1"/>
  <c r="C64" i="17"/>
  <c r="F64" i="17" s="1"/>
  <c r="F67" i="16"/>
  <c r="H67" i="16" s="1"/>
  <c r="M67" i="16" s="1"/>
  <c r="B64" i="12"/>
  <c r="E63" i="12"/>
  <c r="D63" i="12"/>
  <c r="C63" i="12"/>
  <c r="J64" i="15" l="1"/>
  <c r="B70" i="16"/>
  <c r="C69" i="16"/>
  <c r="F69" i="16" s="1"/>
  <c r="H69" i="16" s="1"/>
  <c r="E69" i="16"/>
  <c r="D69" i="16"/>
  <c r="G69" i="16" s="1"/>
  <c r="I69" i="16" s="1"/>
  <c r="E65" i="17"/>
  <c r="K65" i="17"/>
  <c r="D65" i="17"/>
  <c r="G65" i="17" s="1"/>
  <c r="C65" i="17"/>
  <c r="C73" i="7"/>
  <c r="G72" i="7"/>
  <c r="J72" i="7" s="1"/>
  <c r="H72" i="7"/>
  <c r="K72" i="7" s="1"/>
  <c r="L72" i="7"/>
  <c r="J65" i="15"/>
  <c r="E64" i="12"/>
  <c r="D64" i="12"/>
  <c r="G64" i="12" s="1"/>
  <c r="C64" i="12"/>
  <c r="F70" i="13"/>
  <c r="H70" i="13" s="1"/>
  <c r="G68" i="16"/>
  <c r="I68" i="16" s="1"/>
  <c r="N64" i="17"/>
  <c r="M64" i="17"/>
  <c r="P64" i="17" s="1"/>
  <c r="L64" i="17"/>
  <c r="O64" i="17" s="1"/>
  <c r="R64" i="17" s="1"/>
  <c r="I64" i="17" s="1"/>
  <c r="O63" i="17"/>
  <c r="R63" i="17" s="1"/>
  <c r="E71" i="13"/>
  <c r="B72" i="13"/>
  <c r="D71" i="13"/>
  <c r="G71" i="13" s="1"/>
  <c r="I71" i="13" s="1"/>
  <c r="C71" i="13"/>
  <c r="F71" i="13" s="1"/>
  <c r="H71" i="13" s="1"/>
  <c r="M71" i="13" s="1"/>
  <c r="F68" i="16"/>
  <c r="H68" i="16" s="1"/>
  <c r="M68" i="16" s="1"/>
  <c r="F63" i="12"/>
  <c r="G63" i="12"/>
  <c r="G70" i="13"/>
  <c r="I70" i="13" s="1"/>
  <c r="I63" i="17"/>
  <c r="M69" i="16" l="1"/>
  <c r="I63" i="12"/>
  <c r="N65" i="17"/>
  <c r="M65" i="17"/>
  <c r="P65" i="17" s="1"/>
  <c r="L65" i="17"/>
  <c r="O65" i="17" s="1"/>
  <c r="R65" i="17" s="1"/>
  <c r="E72" i="13"/>
  <c r="D72" i="13"/>
  <c r="G72" i="13" s="1"/>
  <c r="I72" i="13" s="1"/>
  <c r="B73" i="13"/>
  <c r="C72" i="13"/>
  <c r="M70" i="13"/>
  <c r="G73" i="7"/>
  <c r="J73" i="7" s="1"/>
  <c r="H73" i="7"/>
  <c r="K73" i="7" s="1"/>
  <c r="L73" i="7" s="1"/>
  <c r="B71" i="16"/>
  <c r="C70" i="16"/>
  <c r="F70" i="16" s="1"/>
  <c r="H70" i="16" s="1"/>
  <c r="M70" i="16" s="1"/>
  <c r="E70" i="16"/>
  <c r="D70" i="16"/>
  <c r="G70" i="16" s="1"/>
  <c r="I70" i="16" s="1"/>
  <c r="F64" i="12"/>
  <c r="I64" i="12" s="1"/>
  <c r="F65" i="17"/>
  <c r="F72" i="13" l="1"/>
  <c r="H72" i="13" s="1"/>
  <c r="M72" i="13" s="1"/>
  <c r="D71" i="16"/>
  <c r="C71" i="16"/>
  <c r="B72" i="16"/>
  <c r="E71" i="16"/>
  <c r="I65" i="17"/>
  <c r="B74" i="13"/>
  <c r="E73" i="13"/>
  <c r="C73" i="13"/>
  <c r="D73" i="13"/>
  <c r="G73" i="13" s="1"/>
  <c r="I73" i="13" s="1"/>
  <c r="C72" i="16" l="1"/>
  <c r="E72" i="16"/>
  <c r="D72" i="16"/>
  <c r="G72" i="16" s="1"/>
  <c r="I72" i="16" s="1"/>
  <c r="B73" i="16"/>
  <c r="F71" i="16"/>
  <c r="H71" i="16" s="1"/>
  <c r="G71" i="16"/>
  <c r="I71" i="16" s="1"/>
  <c r="E74" i="13"/>
  <c r="B75" i="13"/>
  <c r="C74" i="13"/>
  <c r="D74" i="13"/>
  <c r="F73" i="13"/>
  <c r="H73" i="13" s="1"/>
  <c r="M73" i="13" s="1"/>
  <c r="B74" i="16" l="1"/>
  <c r="D73" i="16"/>
  <c r="C73" i="16"/>
  <c r="E73" i="16"/>
  <c r="B76" i="13"/>
  <c r="E75" i="13"/>
  <c r="C75" i="13"/>
  <c r="F75" i="13" s="1"/>
  <c r="H75" i="13" s="1"/>
  <c r="M75" i="13" s="1"/>
  <c r="D75" i="13"/>
  <c r="G75" i="13" s="1"/>
  <c r="I75" i="13" s="1"/>
  <c r="M71" i="16"/>
  <c r="G74" i="13"/>
  <c r="I74" i="13" s="1"/>
  <c r="F74" i="13"/>
  <c r="H74" i="13" s="1"/>
  <c r="M74" i="13" s="1"/>
  <c r="F72" i="16"/>
  <c r="H72" i="16" s="1"/>
  <c r="M72" i="16" s="1"/>
  <c r="E76" i="13" l="1"/>
  <c r="B77" i="13"/>
  <c r="C76" i="13"/>
  <c r="F76" i="13" s="1"/>
  <c r="H76" i="13" s="1"/>
  <c r="D76" i="13"/>
  <c r="G76" i="13" s="1"/>
  <c r="I76" i="13" s="1"/>
  <c r="G73" i="16"/>
  <c r="I73" i="16" s="1"/>
  <c r="F73" i="16"/>
  <c r="H73" i="16" s="1"/>
  <c r="M73" i="16" s="1"/>
  <c r="B75" i="16"/>
  <c r="C74" i="16"/>
  <c r="F74" i="16" s="1"/>
  <c r="H74" i="16" s="1"/>
  <c r="M74" i="16" s="1"/>
  <c r="E74" i="16"/>
  <c r="D74" i="16"/>
  <c r="G74" i="16" s="1"/>
  <c r="I74" i="16" s="1"/>
  <c r="B78" i="13" l="1"/>
  <c r="E77" i="13"/>
  <c r="D77" i="13"/>
  <c r="G77" i="13" s="1"/>
  <c r="I77" i="13" s="1"/>
  <c r="C77" i="13"/>
  <c r="F77" i="13" s="1"/>
  <c r="H77" i="13" s="1"/>
  <c r="M77" i="13" s="1"/>
  <c r="B76" i="16"/>
  <c r="E75" i="16"/>
  <c r="C75" i="16"/>
  <c r="F75" i="16" s="1"/>
  <c r="H75" i="16" s="1"/>
  <c r="M75" i="16" s="1"/>
  <c r="D75" i="16"/>
  <c r="G75" i="16" s="1"/>
  <c r="I75" i="16" s="1"/>
  <c r="M76" i="13"/>
  <c r="D76" i="16" l="1"/>
  <c r="B77" i="16"/>
  <c r="C76" i="16"/>
  <c r="E76" i="16"/>
  <c r="C78" i="13"/>
  <c r="B79" i="13"/>
  <c r="E78" i="13"/>
  <c r="D78" i="13"/>
  <c r="G78" i="13" l="1"/>
  <c r="I78" i="13" s="1"/>
  <c r="B80" i="13"/>
  <c r="D79" i="13"/>
  <c r="E79" i="13"/>
  <c r="C79" i="13"/>
  <c r="F79" i="13" s="1"/>
  <c r="H79" i="13" s="1"/>
  <c r="B78" i="16"/>
  <c r="C77" i="16"/>
  <c r="E77" i="16"/>
  <c r="D77" i="16"/>
  <c r="F78" i="13"/>
  <c r="H78" i="13" s="1"/>
  <c r="M78" i="13" s="1"/>
  <c r="F76" i="16"/>
  <c r="H76" i="16" s="1"/>
  <c r="G76" i="16"/>
  <c r="I76" i="16" s="1"/>
  <c r="F77" i="16" l="1"/>
  <c r="H77" i="16" s="1"/>
  <c r="G79" i="13"/>
  <c r="I79" i="13" s="1"/>
  <c r="B79" i="16"/>
  <c r="C78" i="16"/>
  <c r="E78" i="16"/>
  <c r="D78" i="16"/>
  <c r="G78" i="16" s="1"/>
  <c r="I78" i="16" s="1"/>
  <c r="C80" i="13"/>
  <c r="F80" i="13" s="1"/>
  <c r="H80" i="13" s="1"/>
  <c r="M80" i="13" s="1"/>
  <c r="B81" i="13"/>
  <c r="E80" i="13"/>
  <c r="D80" i="13"/>
  <c r="G80" i="13" s="1"/>
  <c r="I80" i="13" s="1"/>
  <c r="M79" i="13"/>
  <c r="M76" i="16"/>
  <c r="G77" i="16"/>
  <c r="I77" i="16" s="1"/>
  <c r="F78" i="16" l="1"/>
  <c r="H78" i="16" s="1"/>
  <c r="M78" i="16" s="1"/>
  <c r="D79" i="16"/>
  <c r="C79" i="16"/>
  <c r="B80" i="16"/>
  <c r="E79" i="16"/>
  <c r="B82" i="13"/>
  <c r="C81" i="13"/>
  <c r="E81" i="13"/>
  <c r="D81" i="13"/>
  <c r="M77" i="16"/>
  <c r="C80" i="16" l="1"/>
  <c r="E80" i="16"/>
  <c r="B81" i="16"/>
  <c r="D80" i="16"/>
  <c r="G80" i="16" s="1"/>
  <c r="I80" i="16" s="1"/>
  <c r="F81" i="13"/>
  <c r="H81" i="13" s="1"/>
  <c r="M81" i="13" s="1"/>
  <c r="F79" i="16"/>
  <c r="H79" i="16" s="1"/>
  <c r="M79" i="16" s="1"/>
  <c r="E82" i="13"/>
  <c r="B83" i="13"/>
  <c r="D82" i="13"/>
  <c r="C82" i="13"/>
  <c r="G79" i="16"/>
  <c r="I79" i="16" s="1"/>
  <c r="G81" i="13"/>
  <c r="I81" i="13" s="1"/>
  <c r="C83" i="13" l="1"/>
  <c r="B84" i="13"/>
  <c r="E83" i="13"/>
  <c r="D83" i="13"/>
  <c r="G83" i="13" s="1"/>
  <c r="I83" i="13" s="1"/>
  <c r="D81" i="16"/>
  <c r="B82" i="16"/>
  <c r="C81" i="16"/>
  <c r="F81" i="16" s="1"/>
  <c r="H81" i="16" s="1"/>
  <c r="E81" i="16"/>
  <c r="F82" i="13"/>
  <c r="H82" i="13" s="1"/>
  <c r="M82" i="13" s="1"/>
  <c r="G82" i="13"/>
  <c r="I82" i="13" s="1"/>
  <c r="F80" i="16"/>
  <c r="H80" i="16" s="1"/>
  <c r="M80" i="16" s="1"/>
  <c r="C82" i="16" l="1"/>
  <c r="B83" i="16"/>
  <c r="E82" i="16"/>
  <c r="D82" i="16"/>
  <c r="E84" i="13"/>
  <c r="C84" i="13"/>
  <c r="F84" i="13" s="1"/>
  <c r="H84" i="13" s="1"/>
  <c r="D84" i="13"/>
  <c r="G84" i="13" s="1"/>
  <c r="I84" i="13" s="1"/>
  <c r="B85" i="13"/>
  <c r="G81" i="16"/>
  <c r="I81" i="16" s="1"/>
  <c r="M81" i="16" s="1"/>
  <c r="F83" i="13"/>
  <c r="H83" i="13" s="1"/>
  <c r="M83" i="13" s="1"/>
  <c r="G82" i="16" l="1"/>
  <c r="I82" i="16" s="1"/>
  <c r="D85" i="13"/>
  <c r="G85" i="13" s="1"/>
  <c r="I85" i="13" s="1"/>
  <c r="B86" i="13"/>
  <c r="E85" i="13"/>
  <c r="C85" i="13"/>
  <c r="F85" i="13" s="1"/>
  <c r="H85" i="13" s="1"/>
  <c r="B84" i="16"/>
  <c r="E83" i="16"/>
  <c r="C83" i="16"/>
  <c r="F83" i="16" s="1"/>
  <c r="H83" i="16" s="1"/>
  <c r="D83" i="16"/>
  <c r="M84" i="13"/>
  <c r="F82" i="16"/>
  <c r="H82" i="16" s="1"/>
  <c r="M82" i="16" s="1"/>
  <c r="C86" i="13" l="1"/>
  <c r="E86" i="13"/>
  <c r="B87" i="13"/>
  <c r="D86" i="13"/>
  <c r="G86" i="13" s="1"/>
  <c r="I86" i="13" s="1"/>
  <c r="M83" i="16"/>
  <c r="D84" i="16"/>
  <c r="G84" i="16" s="1"/>
  <c r="I84" i="16" s="1"/>
  <c r="C84" i="16"/>
  <c r="F84" i="16" s="1"/>
  <c r="H84" i="16" s="1"/>
  <c r="E84" i="16"/>
  <c r="B85" i="16"/>
  <c r="M85" i="13"/>
  <c r="G83" i="16"/>
  <c r="I83" i="16" s="1"/>
  <c r="B88" i="13" l="1"/>
  <c r="E87" i="13"/>
  <c r="D87" i="13"/>
  <c r="G87" i="13" s="1"/>
  <c r="I87" i="13" s="1"/>
  <c r="C87" i="13"/>
  <c r="M84" i="16"/>
  <c r="B86" i="16"/>
  <c r="C85" i="16"/>
  <c r="E85" i="16"/>
  <c r="D85" i="16"/>
  <c r="F86" i="13"/>
  <c r="H86" i="13" s="1"/>
  <c r="M86" i="13" s="1"/>
  <c r="B87" i="16" l="1"/>
  <c r="C86" i="16"/>
  <c r="D86" i="16"/>
  <c r="E86" i="16"/>
  <c r="F85" i="16"/>
  <c r="H85" i="16" s="1"/>
  <c r="F87" i="13"/>
  <c r="H87" i="13" s="1"/>
  <c r="M87" i="13" s="1"/>
  <c r="G85" i="16"/>
  <c r="I85" i="16" s="1"/>
  <c r="B89" i="13"/>
  <c r="E88" i="13"/>
  <c r="C88" i="13"/>
  <c r="F88" i="13" s="1"/>
  <c r="H88" i="13" s="1"/>
  <c r="M88" i="13" s="1"/>
  <c r="D88" i="13"/>
  <c r="G88" i="13" s="1"/>
  <c r="I88" i="13" s="1"/>
  <c r="M85" i="16" l="1"/>
  <c r="G86" i="16"/>
  <c r="I86" i="16" s="1"/>
  <c r="B90" i="13"/>
  <c r="C89" i="13"/>
  <c r="E89" i="13"/>
  <c r="D89" i="13"/>
  <c r="G89" i="13" s="1"/>
  <c r="I89" i="13" s="1"/>
  <c r="F86" i="16"/>
  <c r="H86" i="16" s="1"/>
  <c r="M86" i="16" s="1"/>
  <c r="D87" i="16"/>
  <c r="G87" i="16" s="1"/>
  <c r="I87" i="16" s="1"/>
  <c r="B88" i="16"/>
  <c r="C87" i="16"/>
  <c r="F87" i="16" s="1"/>
  <c r="H87" i="16" s="1"/>
  <c r="E87" i="16"/>
  <c r="E90" i="13" l="1"/>
  <c r="B91" i="13"/>
  <c r="C90" i="13"/>
  <c r="F90" i="13" s="1"/>
  <c r="H90" i="13" s="1"/>
  <c r="M90" i="13" s="1"/>
  <c r="D90" i="13"/>
  <c r="G90" i="13" s="1"/>
  <c r="I90" i="13" s="1"/>
  <c r="M87" i="16"/>
  <c r="F89" i="13"/>
  <c r="H89" i="13" s="1"/>
  <c r="M89" i="13" s="1"/>
  <c r="C88" i="16"/>
  <c r="E88" i="16"/>
  <c r="D88" i="16"/>
  <c r="B89" i="16"/>
  <c r="B92" i="13" l="1"/>
  <c r="C91" i="13"/>
  <c r="F91" i="13" s="1"/>
  <c r="H91" i="13" s="1"/>
  <c r="M91" i="13" s="1"/>
  <c r="E91" i="13"/>
  <c r="D91" i="13"/>
  <c r="G91" i="13" s="1"/>
  <c r="I91" i="13" s="1"/>
  <c r="F88" i="16"/>
  <c r="H88" i="16" s="1"/>
  <c r="M88" i="16" s="1"/>
  <c r="D89" i="16"/>
  <c r="G89" i="16" s="1"/>
  <c r="I89" i="16" s="1"/>
  <c r="C89" i="16"/>
  <c r="F89" i="16" s="1"/>
  <c r="H89" i="16" s="1"/>
  <c r="M89" i="16" s="1"/>
  <c r="B90" i="16"/>
  <c r="E89" i="16"/>
  <c r="G88" i="16"/>
  <c r="I88" i="16" s="1"/>
  <c r="C90" i="16" l="1"/>
  <c r="B91" i="16"/>
  <c r="E90" i="16"/>
  <c r="D90" i="16"/>
  <c r="G90" i="16" s="1"/>
  <c r="I90" i="16" s="1"/>
  <c r="E92" i="13"/>
  <c r="C92" i="13"/>
  <c r="F92" i="13" s="1"/>
  <c r="H92" i="13" s="1"/>
  <c r="B93" i="13"/>
  <c r="D92" i="13"/>
  <c r="G92" i="13" l="1"/>
  <c r="I92" i="13" s="1"/>
  <c r="M92" i="13" s="1"/>
  <c r="D93" i="13"/>
  <c r="E93" i="13"/>
  <c r="B94" i="13"/>
  <c r="C93" i="13"/>
  <c r="F93" i="13" s="1"/>
  <c r="H93" i="13" s="1"/>
  <c r="B92" i="16"/>
  <c r="E91" i="16"/>
  <c r="C91" i="16"/>
  <c r="D91" i="16"/>
  <c r="F90" i="16"/>
  <c r="H90" i="16" s="1"/>
  <c r="M90" i="16" s="1"/>
  <c r="G93" i="13" l="1"/>
  <c r="I93" i="13" s="1"/>
  <c r="D92" i="16"/>
  <c r="C92" i="16"/>
  <c r="B93" i="16"/>
  <c r="E92" i="16"/>
  <c r="M93" i="13"/>
  <c r="D94" i="13"/>
  <c r="G94" i="13" s="1"/>
  <c r="I94" i="13" s="1"/>
  <c r="B95" i="13"/>
  <c r="C94" i="13"/>
  <c r="E94" i="13"/>
  <c r="G91" i="16"/>
  <c r="I91" i="16" s="1"/>
  <c r="F91" i="16"/>
  <c r="H91" i="16" s="1"/>
  <c r="M91" i="16" s="1"/>
  <c r="B96" i="13" l="1"/>
  <c r="D95" i="13"/>
  <c r="G95" i="13" s="1"/>
  <c r="I95" i="13" s="1"/>
  <c r="E95" i="13"/>
  <c r="C95" i="13"/>
  <c r="F95" i="13" s="1"/>
  <c r="H95" i="13" s="1"/>
  <c r="M95" i="13" s="1"/>
  <c r="F92" i="16"/>
  <c r="H92" i="16" s="1"/>
  <c r="M92" i="16" s="1"/>
  <c r="G92" i="16"/>
  <c r="I92" i="16" s="1"/>
  <c r="C93" i="16"/>
  <c r="F93" i="16" s="1"/>
  <c r="H93" i="16" s="1"/>
  <c r="E93" i="16"/>
  <c r="B94" i="16"/>
  <c r="D93" i="16"/>
  <c r="F94" i="13"/>
  <c r="H94" i="13" s="1"/>
  <c r="M94" i="13" s="1"/>
  <c r="G93" i="16" l="1"/>
  <c r="I93" i="16" s="1"/>
  <c r="M93" i="16" s="1"/>
  <c r="B95" i="16"/>
  <c r="C94" i="16"/>
  <c r="E94" i="16"/>
  <c r="D94" i="16"/>
  <c r="D96" i="13"/>
  <c r="G96" i="13" s="1"/>
  <c r="I96" i="13" s="1"/>
  <c r="C96" i="13"/>
  <c r="F96" i="13" s="1"/>
  <c r="H96" i="13" s="1"/>
  <c r="M96" i="13" s="1"/>
  <c r="B97" i="13"/>
  <c r="E96" i="13"/>
  <c r="G94" i="16" l="1"/>
  <c r="I94" i="16" s="1"/>
  <c r="F94" i="16"/>
  <c r="H94" i="16" s="1"/>
  <c r="M94" i="16" s="1"/>
  <c r="D95" i="16"/>
  <c r="G95" i="16" s="1"/>
  <c r="I95" i="16" s="1"/>
  <c r="B96" i="16"/>
  <c r="C95" i="16"/>
  <c r="E95" i="16"/>
  <c r="B98" i="13"/>
  <c r="E97" i="13"/>
  <c r="C97" i="13"/>
  <c r="D97" i="13"/>
  <c r="E98" i="13" l="1"/>
  <c r="D98" i="13"/>
  <c r="G98" i="13" s="1"/>
  <c r="I98" i="13" s="1"/>
  <c r="C98" i="13"/>
  <c r="F98" i="13" s="1"/>
  <c r="H98" i="13" s="1"/>
  <c r="M98" i="13" s="1"/>
  <c r="B99" i="13"/>
  <c r="F95" i="16"/>
  <c r="H95" i="16" s="1"/>
  <c r="M95" i="16" s="1"/>
  <c r="C96" i="16"/>
  <c r="E96" i="16"/>
  <c r="B97" i="16"/>
  <c r="D96" i="16"/>
  <c r="G97" i="13"/>
  <c r="I97" i="13" s="1"/>
  <c r="F97" i="13"/>
  <c r="H97" i="13" s="1"/>
  <c r="M97" i="13" s="1"/>
  <c r="F96" i="16" l="1"/>
  <c r="H96" i="16" s="1"/>
  <c r="D97" i="16"/>
  <c r="B98" i="16"/>
  <c r="C97" i="16"/>
  <c r="E97" i="16"/>
  <c r="E99" i="13"/>
  <c r="C99" i="13"/>
  <c r="F99" i="13" s="1"/>
  <c r="H99" i="13" s="1"/>
  <c r="B100" i="13"/>
  <c r="D99" i="13"/>
  <c r="G96" i="16"/>
  <c r="I96" i="16" s="1"/>
  <c r="F97" i="16" l="1"/>
  <c r="H97" i="16" s="1"/>
  <c r="C98" i="16"/>
  <c r="B99" i="16"/>
  <c r="E98" i="16"/>
  <c r="D98" i="16"/>
  <c r="G98" i="16" s="1"/>
  <c r="I98" i="16" s="1"/>
  <c r="G97" i="16"/>
  <c r="I97" i="16" s="1"/>
  <c r="E100" i="13"/>
  <c r="D100" i="13"/>
  <c r="C100" i="13"/>
  <c r="G99" i="13"/>
  <c r="I99" i="13" s="1"/>
  <c r="M99" i="13" s="1"/>
  <c r="M96" i="16"/>
  <c r="F98" i="16" l="1"/>
  <c r="H98" i="16" s="1"/>
  <c r="M98" i="16" s="1"/>
  <c r="M97" i="16"/>
  <c r="B100" i="16"/>
  <c r="E99" i="16"/>
  <c r="C99" i="16"/>
  <c r="F99" i="16" s="1"/>
  <c r="H99" i="16" s="1"/>
  <c r="M99" i="16" s="1"/>
  <c r="D99" i="16"/>
  <c r="G99" i="16" s="1"/>
  <c r="I99" i="16" s="1"/>
  <c r="F100" i="13"/>
  <c r="H100" i="13" s="1"/>
  <c r="M100" i="13" s="1"/>
  <c r="G100" i="13"/>
  <c r="I100" i="13" s="1"/>
  <c r="D100" i="16" l="1"/>
  <c r="E100" i="16"/>
  <c r="C100" i="16"/>
  <c r="F100" i="16" s="1"/>
  <c r="H100" i="16" s="1"/>
  <c r="G100" i="16" l="1"/>
  <c r="I100" i="16" s="1"/>
  <c r="M100" i="16" s="1"/>
</calcChain>
</file>

<file path=xl/sharedStrings.xml><?xml version="1.0" encoding="utf-8"?>
<sst xmlns="http://schemas.openxmlformats.org/spreadsheetml/2006/main" count="1109" uniqueCount="383">
  <si>
    <t>List of VBA Macro functions</t>
  </si>
  <si>
    <t>ARGUMENTS</t>
  </si>
  <si>
    <t>NAME</t>
  </si>
  <si>
    <t>FUNCTION</t>
  </si>
  <si>
    <t>REFERENCE</t>
  </si>
  <si>
    <t>ARG-1</t>
  </si>
  <si>
    <t>ARG-2</t>
  </si>
  <si>
    <t>ARG-3</t>
  </si>
  <si>
    <t>ARG-4</t>
  </si>
  <si>
    <t>RESULT</t>
  </si>
  <si>
    <t>ProgrammerNotes</t>
  </si>
  <si>
    <t>NOTE_ID</t>
  </si>
  <si>
    <t>DATE</t>
  </si>
  <si>
    <t>NOTE</t>
  </si>
  <si>
    <t>Put VBA functions into a code module saved with the spreadsheet</t>
  </si>
  <si>
    <t>Coded EEXP,ERFCC, and ERFF from 1996 spreadsheets (that still work -- go figure!)</t>
  </si>
  <si>
    <t>Some built-in functions need "WorksheetFunction.NAME" to access in VBA code</t>
  </si>
  <si>
    <t>Dispersion Dimension</t>
  </si>
  <si>
    <t>Advection</t>
  </si>
  <si>
    <t>Yes</t>
  </si>
  <si>
    <t xml:space="preserve">Dispersion  </t>
  </si>
  <si>
    <t>Source History</t>
  </si>
  <si>
    <t>Finite Duration Pulse</t>
  </si>
  <si>
    <t>Source Dimension</t>
  </si>
  <si>
    <t>Point</t>
  </si>
  <si>
    <t>Decay</t>
  </si>
  <si>
    <t>None</t>
  </si>
  <si>
    <t>Retardation</t>
  </si>
  <si>
    <t xml:space="preserve">Reference: </t>
  </si>
  <si>
    <t>Bear, 1972. Dynamics of Fluids in Porous Media, pp 630, Eqn. (10.6.22)</t>
  </si>
  <si>
    <t xml:space="preserve">Method: </t>
  </si>
  <si>
    <t>Superposition of two step inputs lagged in time.</t>
  </si>
  <si>
    <t>Model Name:</t>
  </si>
  <si>
    <t>MODEL INPUT VALUES</t>
  </si>
  <si>
    <t>Co</t>
  </si>
  <si>
    <t>Reservoir Concentration</t>
  </si>
  <si>
    <t>q</t>
  </si>
  <si>
    <t>Specific Discharge</t>
  </si>
  <si>
    <t>(meters/yr)</t>
  </si>
  <si>
    <t>n</t>
  </si>
  <si>
    <t>Porosity</t>
  </si>
  <si>
    <t>D</t>
  </si>
  <si>
    <t>Dispersion Coefficient</t>
  </si>
  <si>
    <t>t</t>
  </si>
  <si>
    <t xml:space="preserve">Pulse Length </t>
  </si>
  <si>
    <t>(yr)</t>
  </si>
  <si>
    <r>
      <t>(mg/meter</t>
    </r>
    <r>
      <rPr>
        <vertAlign val="superscript"/>
        <sz val="12"/>
        <rFont val="Calibri"/>
        <family val="2"/>
        <scheme val="minor"/>
      </rPr>
      <t>3</t>
    </r>
    <r>
      <rPr>
        <sz val="12"/>
        <rFont val="Calibri"/>
        <family val="2"/>
        <scheme val="minor"/>
      </rPr>
      <t>)</t>
    </r>
  </si>
  <si>
    <r>
      <t>(meters</t>
    </r>
    <r>
      <rPr>
        <vertAlign val="super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/yr)</t>
    </r>
  </si>
  <si>
    <t>TRANSPORT PARAMETERS</t>
  </si>
  <si>
    <t>COMPUTED CONSTANTS</t>
  </si>
  <si>
    <t>v=q/n</t>
  </si>
  <si>
    <t>Pore Velocity</t>
  </si>
  <si>
    <t>v/D</t>
  </si>
  <si>
    <t>Intermediate Calculations</t>
  </si>
  <si>
    <t>Simulation Parameters</t>
  </si>
  <si>
    <t>(1)</t>
  </si>
  <si>
    <t>(2)</t>
  </si>
  <si>
    <t>(3)</t>
  </si>
  <si>
    <t>(4)</t>
  </si>
  <si>
    <t>(5)</t>
  </si>
  <si>
    <t>(6)</t>
  </si>
  <si>
    <t>(7)</t>
  </si>
  <si>
    <t>x (meters)</t>
  </si>
  <si>
    <t>t (years)</t>
  </si>
  <si>
    <t>x-vt</t>
  </si>
  <si>
    <t>x+vt</t>
  </si>
  <si>
    <t>2 SQRT (Dt)</t>
  </si>
  <si>
    <t>ERFCC[ (1)/(3) ]</t>
  </si>
  <si>
    <t>ERFCC[ (2)/(3) ]</t>
  </si>
  <si>
    <t>EEXP [ x v/D ]</t>
  </si>
  <si>
    <r>
      <t>C(x,t) (mg/m</t>
    </r>
    <r>
      <rPr>
        <vertAlign val="superscript"/>
        <sz val="12"/>
        <rFont val="Calibri"/>
        <family val="2"/>
        <scheme val="minor"/>
      </rPr>
      <t>3</t>
    </r>
    <r>
      <rPr>
        <sz val="12"/>
        <rFont val="Calibri"/>
        <family val="2"/>
        <scheme val="minor"/>
      </rPr>
      <t>)</t>
    </r>
  </si>
  <si>
    <t>Superposition of + and - Wave</t>
  </si>
  <si>
    <t>- Wave</t>
  </si>
  <si>
    <t>Chart Title</t>
  </si>
  <si>
    <t>1D_finite_pulse_advection_dispersion</t>
  </si>
  <si>
    <t>List of Models in This Workbook</t>
  </si>
  <si>
    <t>MODEL NAME</t>
  </si>
  <si>
    <t>SHEET NAME</t>
  </si>
  <si>
    <t>DOCUMENTATION</t>
  </si>
  <si>
    <t>1DFPAD</t>
  </si>
  <si>
    <t>2D_finite_width_constant_reservoir_advection_dispersion</t>
  </si>
  <si>
    <t>Finite Width Source (Y -units wide); Continuous concentration value in source zone</t>
  </si>
  <si>
    <t>Line</t>
  </si>
  <si>
    <t>Domenico P. and G.A. Robbins, 1985. "A New Method for Contaminant Analysis", Groundwater, Vol. 23, No. 4, pp 476-485</t>
  </si>
  <si>
    <t>Product model of two orthogonal solutions.</t>
  </si>
  <si>
    <t>Author:</t>
  </si>
  <si>
    <t>Dr. T.G. Cleveland for CIVE6361/7332 Students; Spring 1995</t>
  </si>
  <si>
    <t>Notes:</t>
  </si>
  <si>
    <t>Semi-Infinite Aquifer</t>
  </si>
  <si>
    <t>Advection and Dispersion</t>
  </si>
  <si>
    <t>Constant Source at x=0, y=0; Source is Y units wide</t>
  </si>
  <si>
    <t>Uses dispersivities to compute dispersion coefficients.</t>
  </si>
  <si>
    <t>Note: This is a modified DR model using Yuan's theory</t>
  </si>
  <si>
    <t>Macros:</t>
  </si>
  <si>
    <t>Transport Parameters</t>
  </si>
  <si>
    <r>
      <t>(mg/meter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</si>
  <si>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t>ax</t>
  </si>
  <si>
    <t>Dispersivity in x direction</t>
  </si>
  <si>
    <t>(meters)</t>
  </si>
  <si>
    <t>ay</t>
  </si>
  <si>
    <t>Dispersivity in y direction</t>
  </si>
  <si>
    <t>Y</t>
  </si>
  <si>
    <t>Source width</t>
  </si>
  <si>
    <t>Computed Constants</t>
  </si>
  <si>
    <t>Dx</t>
  </si>
  <si>
    <t>Dispersion in x direction</t>
  </si>
  <si>
    <r>
      <t>(meters</t>
    </r>
    <r>
      <rPr>
        <vertAlign val="superscript"/>
        <sz val="12"/>
        <rFont val="Calibri"/>
        <family val="2"/>
      </rPr>
      <t>2</t>
    </r>
    <r>
      <rPr>
        <sz val="12"/>
        <rFont val="Calibri"/>
        <family val="2"/>
      </rPr>
      <t>/yr)</t>
    </r>
  </si>
  <si>
    <t>Dy</t>
  </si>
  <si>
    <t>Dispersion in y direction</t>
  </si>
  <si>
    <t>Results</t>
  </si>
  <si>
    <t>(8)</t>
  </si>
  <si>
    <t>(9)</t>
  </si>
  <si>
    <t>(10)</t>
  </si>
  <si>
    <t>(11)</t>
  </si>
  <si>
    <t>(12)</t>
  </si>
  <si>
    <t>(13)</t>
  </si>
  <si>
    <t>y(meters)</t>
  </si>
  <si>
    <r>
      <t>C(x,t) (mg/m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</si>
  <si>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>2 SQRT [D</t>
    </r>
    <r>
      <rPr>
        <vertAlign val="subscript"/>
        <sz val="12"/>
        <rFont val="Calibri"/>
        <family val="2"/>
      </rPr>
      <t xml:space="preserve">y </t>
    </r>
    <r>
      <rPr>
        <sz val="12"/>
        <rFont val="Calibri"/>
        <family val="2"/>
      </rPr>
      <t>t]</t>
    </r>
  </si>
  <si>
    <t>y-Y/2</t>
  </si>
  <si>
    <t>y+Y/2</t>
  </si>
  <si>
    <t>ERFF[ (4)/(3) ]</t>
  </si>
  <si>
    <t>ERFF[ (5)/(3) ]</t>
  </si>
  <si>
    <t>ERFF[ (10)/(8) ]</t>
  </si>
  <si>
    <t>ERFF[ (9)/(8) ]</t>
  </si>
  <si>
    <t>W(U)</t>
  </si>
  <si>
    <t>W(U,B)</t>
  </si>
  <si>
    <t>Exponential Integral</t>
  </si>
  <si>
    <t xml:space="preserve">References: </t>
  </si>
  <si>
    <t>Yuan, D, 1995. ``Accurate approximations for one-, two-, and three-dimensional groundwater mass transport from an exponentially decaying contaminant source.'' MS Thesis, Department of Civil and Environmental Engineering, University of Houston</t>
  </si>
  <si>
    <t xml:space="preserve">Reference(s): </t>
  </si>
  <si>
    <t>NONE</t>
  </si>
  <si>
    <t>Uses truncated Ogata Banks model -- early time, short distance results are inaccurate.</t>
  </si>
  <si>
    <t>Specific Discharge (meters/year)</t>
  </si>
  <si>
    <t>Dispersivity-x direction (meters)</t>
  </si>
  <si>
    <t>Dispersivity-y direction (meters)</t>
  </si>
  <si>
    <t>YW</t>
  </si>
  <si>
    <t>YW Source Width (meters)</t>
  </si>
  <si>
    <t>v</t>
  </si>
  <si>
    <t>Velocity (meters/year)</t>
  </si>
  <si>
    <t>SImulation Parameters</t>
  </si>
  <si>
    <t>y (meters)</t>
  </si>
  <si>
    <t>ERFCC[ (1)/(2)</t>
  </si>
  <si>
    <t>2D_finite_width_constant_reservoir_advection_dispersion_OB</t>
  </si>
  <si>
    <t>2D_finite_width_constant_reservoir_advection_dispersion_Y</t>
  </si>
  <si>
    <t>2DFWCRAD-YUAN</t>
  </si>
  <si>
    <t>2DFWCRAD-OB</t>
  </si>
  <si>
    <t>REMARKS</t>
  </si>
  <si>
    <t>Ogata-Banks Solution</t>
  </si>
  <si>
    <t>Yuan-Approximation</t>
  </si>
  <si>
    <r>
      <t>Source concentration (mg/meter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</si>
  <si>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>Dispersion Coefficient, x-direction (meters</t>
    </r>
    <r>
      <rPr>
        <vertAlign val="superscript"/>
        <sz val="12"/>
        <rFont val="Calibri"/>
        <family val="2"/>
      </rPr>
      <t>2</t>
    </r>
    <r>
      <rPr>
        <sz val="12"/>
        <rFont val="Calibri"/>
        <family val="2"/>
      </rPr>
      <t>/year)</t>
    </r>
  </si>
  <si>
    <r>
      <t>Dispersion Coefficient, y-direction (meters</t>
    </r>
    <r>
      <rPr>
        <vertAlign val="superscript"/>
        <sz val="12"/>
        <rFont val="Calibri"/>
        <family val="2"/>
      </rPr>
      <t>2</t>
    </r>
    <r>
      <rPr>
        <sz val="12"/>
        <rFont val="Calibri"/>
        <family val="2"/>
      </rPr>
      <t>/year)</t>
    </r>
  </si>
  <si>
    <r>
      <t>2 SQRT [D</t>
    </r>
    <r>
      <rPr>
        <vertAlign val="subscript"/>
        <sz val="12"/>
        <rFont val="Calibri"/>
        <family val="2"/>
      </rPr>
      <t>x</t>
    </r>
    <r>
      <rPr>
        <sz val="12"/>
        <rFont val="Calibri"/>
        <family val="2"/>
      </rPr>
      <t>t]</t>
    </r>
  </si>
  <si>
    <r>
      <t>2 SQRT[ D</t>
    </r>
    <r>
      <rPr>
        <vertAlign val="subscript"/>
        <sz val="12"/>
        <rFont val="Calibri"/>
        <family val="2"/>
      </rPr>
      <t>y</t>
    </r>
    <r>
      <rPr>
        <sz val="12"/>
        <rFont val="Calibri"/>
        <family val="2"/>
      </rPr>
      <t xml:space="preserve"> t]</t>
    </r>
  </si>
  <si>
    <r>
      <t>C(x,y,t) (mg/m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</si>
  <si>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t>Elapsed Time (years)</t>
  </si>
  <si>
    <t xml:space="preserve">Concentration (mg/L) </t>
  </si>
  <si>
    <t>u</t>
  </si>
  <si>
    <t>W(u)</t>
  </si>
  <si>
    <t>Well Functions contained in Module1 as local to this worksheet macros</t>
  </si>
  <si>
    <t>1D_radial_flow_confined_aquifer_transient</t>
  </si>
  <si>
    <t>Theis Solution</t>
  </si>
  <si>
    <t>Model Name</t>
  </si>
  <si>
    <t>1DRFCAT-HYDM</t>
  </si>
  <si>
    <t>1D_radial_flow_confined_aquifer_transient_hydraulic_model</t>
  </si>
  <si>
    <t>Q</t>
  </si>
  <si>
    <t>&lt;=gpm</t>
  </si>
  <si>
    <t>&lt;=ft^3/min</t>
  </si>
  <si>
    <t>&lt;=ft^3/day</t>
  </si>
  <si>
    <t>&lt;=m^3/min</t>
  </si>
  <si>
    <t>&lt;=m^3/day</t>
  </si>
  <si>
    <t>T</t>
  </si>
  <si>
    <t>&lt;=ft^2/min</t>
  </si>
  <si>
    <t>&lt;=ft^2/day</t>
  </si>
  <si>
    <t>&lt;=gpm/ft</t>
  </si>
  <si>
    <t>Input Data (must use consistent length and time units!)</t>
  </si>
  <si>
    <t>Item</t>
  </si>
  <si>
    <t>Value</t>
  </si>
  <si>
    <t>Units</t>
  </si>
  <si>
    <t>Description</t>
  </si>
  <si>
    <t>ft^3/min</t>
  </si>
  <si>
    <t>Pumping well discharge (L^3/t)</t>
  </si>
  <si>
    <t>ft^2/min</t>
  </si>
  <si>
    <t>Aquifer transmissivity (L^2/t)</t>
  </si>
  <si>
    <t>S</t>
  </si>
  <si>
    <t>Aquifer storage coefficient</t>
  </si>
  <si>
    <t>r</t>
  </si>
  <si>
    <t>Radial distance of observation well from pumping well (L)</t>
  </si>
  <si>
    <t>Time</t>
  </si>
  <si>
    <t>Drawdown</t>
  </si>
  <si>
    <t>Model Type:</t>
  </si>
  <si>
    <t>Hydraulic Model</t>
  </si>
  <si>
    <t>Infinite Confined Aquifer</t>
  </si>
  <si>
    <t>Steady Pumping at Origin</t>
  </si>
  <si>
    <t>Computes Drawdown at radial distance, r, for different time values t</t>
  </si>
  <si>
    <t>Uses Polynomial approximation to well function (see references)</t>
  </si>
  <si>
    <t>&lt;=m^2/day</t>
  </si>
  <si>
    <t>&lt;=m^2/min</t>
  </si>
  <si>
    <t>Conversion Calculator (Use GoalSeek to find U.S Customary values for SI Units)</t>
  </si>
  <si>
    <t>u = (r^2 S / 4 T t)</t>
  </si>
  <si>
    <t>r (ft)</t>
  </si>
  <si>
    <t>Observed Drawdown (ft)</t>
  </si>
  <si>
    <t>Sq. Error</t>
  </si>
  <si>
    <t>SSE =&gt;</t>
  </si>
  <si>
    <t xml:space="preserve">Drawdown(ft) </t>
  </si>
  <si>
    <t>Elapsed Time (min)</t>
  </si>
  <si>
    <r>
      <t>Q/(4</t>
    </r>
    <r>
      <rPr>
        <sz val="12"/>
        <rFont val="Symbol"/>
        <charset val="2"/>
      </rPr>
      <t>p</t>
    </r>
    <r>
      <rPr>
        <sz val="12"/>
        <rFont val="Calibri"/>
        <family val="2"/>
        <scheme val="minor"/>
      </rPr>
      <t>T)</t>
    </r>
  </si>
  <si>
    <t>Contaminant Transport</t>
  </si>
  <si>
    <t>Tested 11 Nov 2015 against Wenzel tabulation</t>
  </si>
  <si>
    <t>K'</t>
  </si>
  <si>
    <t>ft/min</t>
  </si>
  <si>
    <t>Aquitard vertical hydraulic conductivity (L/t)</t>
  </si>
  <si>
    <t>b'</t>
  </si>
  <si>
    <t>ft</t>
  </si>
  <si>
    <t>Thickness of aquitard (L)</t>
  </si>
  <si>
    <t>B</t>
  </si>
  <si>
    <t>r/B</t>
  </si>
  <si>
    <t>Error^2</t>
  </si>
  <si>
    <t>W(u,r/B)</t>
  </si>
  <si>
    <t>Hantush</t>
  </si>
  <si>
    <t>W(U),LEAKY(U,V)</t>
  </si>
  <si>
    <t>1D_radial_flow_leaky_aquifer_transient_hantush</t>
  </si>
  <si>
    <t>1DRFLAH-HYDM</t>
  </si>
  <si>
    <t>Hantush Solution</t>
  </si>
  <si>
    <t>Drawdown at radial distance, r, for different time values t in leaky aquifer system</t>
  </si>
  <si>
    <r>
      <t>Q/4</t>
    </r>
    <r>
      <rPr>
        <sz val="12"/>
        <rFont val="Symbol"/>
        <charset val="2"/>
      </rPr>
      <t>p</t>
    </r>
    <r>
      <rPr>
        <sz val="12"/>
        <rFont val="Calibri"/>
        <family val="2"/>
        <scheme val="minor"/>
      </rPr>
      <t>T</t>
    </r>
  </si>
  <si>
    <t>Drawdown (ft)</t>
  </si>
  <si>
    <t xml:space="preserve">Radial Distance (ft) </t>
  </si>
  <si>
    <t>SSE</t>
  </si>
  <si>
    <t>Rewrite in VBA Mac Excel 2011 Fall 2015</t>
  </si>
  <si>
    <t>Constant Injection</t>
  </si>
  <si>
    <t>Model Graphics illustrate how to create plume maps and histories at specified location.</t>
  </si>
  <si>
    <t>Input Data</t>
  </si>
  <si>
    <t>Input Concentration (mg/m^3)</t>
  </si>
  <si>
    <t>mg/L</t>
  </si>
  <si>
    <t>M</t>
  </si>
  <si>
    <t>Mass Loading Rate (mg/day)</t>
  </si>
  <si>
    <t>Injection Rate (m^3/day)</t>
  </si>
  <si>
    <t>gpm</t>
  </si>
  <si>
    <t>m</t>
  </si>
  <si>
    <t>Aquifer Thickness (m)</t>
  </si>
  <si>
    <t>Dl</t>
  </si>
  <si>
    <t>Dt</t>
  </si>
  <si>
    <t>Specific discharge</t>
  </si>
  <si>
    <t>Dl/Dt</t>
  </si>
  <si>
    <t>Longitudinal Dispersivity (m)</t>
  </si>
  <si>
    <t>Dl*Dt</t>
  </si>
  <si>
    <t>Transverse Dispersivity (m)</t>
  </si>
  <si>
    <t>Velocity</t>
  </si>
  <si>
    <t>Time Calculations</t>
  </si>
  <si>
    <t>x-coordinate</t>
  </si>
  <si>
    <t>y-coordinate</t>
  </si>
  <si>
    <t>(mg/L)</t>
  </si>
  <si>
    <t>(mg/m^3)</t>
  </si>
  <si>
    <t>C(x.y.t)</t>
  </si>
  <si>
    <t>C(x,y,t)</t>
  </si>
  <si>
    <t>t-coordinate</t>
  </si>
  <si>
    <t>Plume Calculations</t>
  </si>
  <si>
    <t>&lt;= Y =&gt;</t>
  </si>
  <si>
    <t>dx</t>
  </si>
  <si>
    <t>dy</t>
  </si>
  <si>
    <t>Co (computed)</t>
  </si>
  <si>
    <t>Q (computed)</t>
  </si>
  <si>
    <r>
      <rPr>
        <sz val="12"/>
        <rFont val="Symbol"/>
        <charset val="2"/>
      </rPr>
      <t>a</t>
    </r>
    <r>
      <rPr>
        <vertAlign val="subscript"/>
        <sz val="12"/>
        <rFont val="Arial"/>
        <family val="2"/>
      </rPr>
      <t>l</t>
    </r>
  </si>
  <si>
    <r>
      <rPr>
        <sz val="12"/>
        <rFont val="Symbol"/>
        <charset val="2"/>
      </rPr>
      <t>a</t>
    </r>
    <r>
      <rPr>
        <vertAlign val="subscript"/>
        <sz val="12"/>
        <rFont val="Arial"/>
        <family val="2"/>
      </rPr>
      <t>t</t>
    </r>
  </si>
  <si>
    <t>2D_continuous_line_source_advection_dispersion_hunt</t>
  </si>
  <si>
    <t>Hunt Solution</t>
  </si>
  <si>
    <t>2DCLSAD-HUNT</t>
  </si>
  <si>
    <t>Line (Point)</t>
  </si>
  <si>
    <t>VBA Macros are SLOW -- Make Changes and Wait for Recalculation</t>
  </si>
  <si>
    <t>Hunt, B. 1978. Dispersive Sources in Uniform Groundwater Flow.  J. of Hydraulics, ASCE, Vol 104., No. HY1, pp 75-85.</t>
  </si>
  <si>
    <t>Bear, J. 1979.  Groundwater Hydrology</t>
  </si>
  <si>
    <t>Dispersion Dimension:</t>
  </si>
  <si>
    <t>Advection:</t>
  </si>
  <si>
    <t>Dispersion:</t>
  </si>
  <si>
    <t>Source History:</t>
  </si>
  <si>
    <t>Source Dimension:</t>
  </si>
  <si>
    <t>Decay:</t>
  </si>
  <si>
    <t>Retardation:</t>
  </si>
  <si>
    <t>GO TO SHEET</t>
  </si>
  <si>
    <t>Tested 11 Nov 2015 against 1995 Hunt solution</t>
  </si>
  <si>
    <t>Exponential Decay</t>
  </si>
  <si>
    <t>VanGnuecthen and Alves, 1982. Analytical Solutions of 1D Convetion Dispersion Solute Transport Equations, USDA Technical Bulletin #1661.</t>
  </si>
  <si>
    <t>Initial Peak Concentration (Mass/Volume)</t>
  </si>
  <si>
    <t>Coefficient of Dispersion (Lentgh^2/Time)</t>
  </si>
  <si>
    <t>V</t>
  </si>
  <si>
    <t>Pore Velocity (Length/Time)</t>
  </si>
  <si>
    <t>l</t>
  </si>
  <si>
    <t>Source Decay Rate (1/Time)</t>
  </si>
  <si>
    <t>x (distance)</t>
  </si>
  <si>
    <t>t (time)</t>
  </si>
  <si>
    <t>C(x,t)</t>
  </si>
  <si>
    <t>1D_exponential_decay_source_advection_dispersion</t>
  </si>
  <si>
    <t>Updated to Excel 2011 VBA 2015</t>
  </si>
  <si>
    <t>Exponentially Decaying Source at Inlet (i.e. Flushing a Backmixed Reservoir), Conservative downgradient</t>
  </si>
  <si>
    <t xml:space="preserve">ADExpDecay(c_init,distance_x,time_t,veloc_v,disp_d,lambda_l)   in VBA Code Module1 as part of this workbook </t>
  </si>
  <si>
    <t>1DEDAD</t>
  </si>
  <si>
    <t>Yuan, D, 1995. ``Accurate approximations for one-, two-, and three-dimensional groundwater mass transport from an exponentially decaying contaminant source.''</t>
  </si>
  <si>
    <t>MS Thesis, Department of Civil and Environmental Engineering, University of Houston</t>
  </si>
  <si>
    <t>Chart Title:</t>
  </si>
  <si>
    <t>Time Step (for generating plots)</t>
  </si>
  <si>
    <t>Aquifer Thickness (b)</t>
  </si>
  <si>
    <t>Aquifer Width (w)</t>
  </si>
  <si>
    <t>Dispersion Coefficient (D)</t>
  </si>
  <si>
    <t>Specific Discharge (q)</t>
  </si>
  <si>
    <t>Porosity (n)</t>
  </si>
  <si>
    <t>Velocity (v=q/n)</t>
  </si>
  <si>
    <t xml:space="preserve">Injection Concentration (Co) </t>
  </si>
  <si>
    <t xml:space="preserve">Injection Volume (V) </t>
  </si>
  <si>
    <t>Injection Mass (M)</t>
  </si>
  <si>
    <t xml:space="preserve">Distance (x) </t>
  </si>
  <si>
    <t>Time (t)</t>
  </si>
  <si>
    <t>Bear 1979.  Hydraulics of Groundwater</t>
  </si>
  <si>
    <t>Impulse</t>
  </si>
  <si>
    <t>1D_impulse_advection_dispersion</t>
  </si>
  <si>
    <t>IMPULSE1D(cc,uu,nn,ww,bb,dd,vv,tt,rr,xx,ll)  in Code Module 1 included in this worksheet</t>
  </si>
  <si>
    <t>Kernel function for all 1D ADR models</t>
  </si>
  <si>
    <t>meters</t>
  </si>
  <si>
    <t>meters/day</t>
  </si>
  <si>
    <t>mg/m^3</t>
  </si>
  <si>
    <t>m^3</t>
  </si>
  <si>
    <t>m^2/day</t>
  </si>
  <si>
    <t>1DIMPAD</t>
  </si>
  <si>
    <t>1D_reservoir_advection_dispersion.xls</t>
  </si>
  <si>
    <t>Constant Concentration Reservoir</t>
  </si>
  <si>
    <t>Constant Source at x=0, concentration in source is Co</t>
  </si>
  <si>
    <t>mg</t>
  </si>
  <si>
    <t>C(x,t) (mg/m^3)</t>
  </si>
  <si>
    <t>(mg/meter3)</t>
  </si>
  <si>
    <t>(meters2/yr)</t>
  </si>
  <si>
    <t>(mg/meter^3)</t>
  </si>
  <si>
    <t>(meters^2/yr)</t>
  </si>
  <si>
    <t>(1/meters)</t>
  </si>
  <si>
    <t>1D_reservoir_advection_dispersion</t>
  </si>
  <si>
    <t>1DCRAD</t>
  </si>
  <si>
    <t>1D_continuous_inject_advection_dispersion</t>
  </si>
  <si>
    <t>1DINJAD</t>
  </si>
  <si>
    <t>Injection Concentration</t>
  </si>
  <si>
    <t>v/2D</t>
  </si>
  <si>
    <t>CoQ/q</t>
  </si>
  <si>
    <t>&lt;=This will be the maximum concentration, usually Q and q are equal</t>
  </si>
  <si>
    <t>CoQ/(2nv)</t>
  </si>
  <si>
    <t>|x|-vt</t>
  </si>
  <si>
    <t>|x|+vt</t>
  </si>
  <si>
    <t>(1)/(3)</t>
  </si>
  <si>
    <t>(2)/(3)</t>
  </si>
  <si>
    <t>ERFCC[ (4) ]</t>
  </si>
  <si>
    <t>ERFCC[ (5) ]</t>
  </si>
  <si>
    <t>EEXP [ x v/2D ]</t>
  </si>
  <si>
    <t>EEXP [ -|x| v/2D ]</t>
  </si>
  <si>
    <t>EEXP [ |x| v/2D ]</t>
  </si>
  <si>
    <t>Continous Injection at x=0</t>
  </si>
  <si>
    <t>Sauty, J.P, 1980.  “An analysis of hydrodispersive transfer in aquifers.” Water Resour. Res., Vol 16, No. 1, pp 145-158.</t>
  </si>
  <si>
    <t>Similar to Ogata-Banks, but incorporates dispersion upgradient of source</t>
  </si>
  <si>
    <t>Injection Volumetric Rate (meter3/yr)</t>
  </si>
  <si>
    <t>1D_impulse_advection_dispersion_retardation</t>
  </si>
  <si>
    <t>1D_reservoir_advection_dispersion_retardation</t>
  </si>
  <si>
    <t>1D_continuous_inject_advection_dispersion_retardation</t>
  </si>
  <si>
    <t>1D_finite_pulse_advection_dispersion_retardation</t>
  </si>
  <si>
    <t>1D_exponential_decay_source_advection_dispersion_retardation</t>
  </si>
  <si>
    <t>1D_impulse_advection_dispersion_retardation_decay</t>
  </si>
  <si>
    <t>1D_reservoir_advection_dispersion_retardation_decay</t>
  </si>
  <si>
    <t>1D_continuous_inject_advection_dispersion_retardation_decay</t>
  </si>
  <si>
    <t>1D_finite_pulse_advection_dispersion_retardation_decay</t>
  </si>
  <si>
    <t>1D_exponential_decay_source_advection_dispersion_retardation_decay</t>
  </si>
  <si>
    <t>1DIMPADR</t>
  </si>
  <si>
    <t>1DCRADR</t>
  </si>
  <si>
    <t>1DINJADR</t>
  </si>
  <si>
    <t>1DFPADR</t>
  </si>
  <si>
    <t>1DEDADR</t>
  </si>
  <si>
    <t>1DIMPADRD</t>
  </si>
  <si>
    <t>1DCRADRD</t>
  </si>
  <si>
    <t>1DINJADRD</t>
  </si>
  <si>
    <t>1DFPADRD</t>
  </si>
  <si>
    <t>1DEDADRD</t>
  </si>
  <si>
    <t>Uses adjusted time for retardation effect</t>
  </si>
  <si>
    <t>Retardation Factor (R )</t>
  </si>
  <si>
    <t>Adj. Time (t/R)</t>
  </si>
  <si>
    <t>Ogata-Banks Solution; Use adjusted time for retardation effect</t>
  </si>
  <si>
    <t>R</t>
  </si>
  <si>
    <t>Retardation Coefficient</t>
  </si>
  <si>
    <t>Adj. Time (years)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</si>
</sst>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vertAlign val="superscript"/>
      <sz val="12"/>
      <name val="Calibri"/>
      <family val="2"/>
      <scheme val="minor"/>
    </font>
    <font>
      <sz val="12"/>
      <name val="Symbol"/>
      <charset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family val="2"/>
    </font>
    <font>
      <u/>
      <sz val="12"/>
      <name val="Calibri"/>
      <family val="2"/>
    </font>
    <font>
      <sz val="12"/>
      <color theme="1"/>
      <name val="Calibri"/>
      <family val="2"/>
    </font>
    <font>
      <vertAlign val="superscript"/>
      <sz val="12"/>
      <name val="Calibri"/>
      <family val="2"/>
    </font>
    <font>
      <vertAlign val="subscript"/>
      <sz val="12"/>
      <name val="Calibri"/>
      <family val="2"/>
    </font>
    <font>
      <sz val="8"/>
      <name val="Arial"/>
      <family val="2"/>
    </font>
    <font>
      <sz val="12"/>
      <color rgb="FF9C0006"/>
      <name val="Calibri"/>
      <family val="2"/>
      <scheme val="minor"/>
    </font>
    <font>
      <sz val="12"/>
      <name val="Arial"/>
      <family val="2"/>
    </font>
    <font>
      <vertAlign val="subscript"/>
      <sz val="12"/>
      <name val="Arial"/>
      <family val="2"/>
    </font>
    <font>
      <b/>
      <sz val="14"/>
      <color theme="1"/>
      <name val="Calibri"/>
      <family val="2"/>
      <scheme val="minor"/>
    </font>
    <font>
      <sz val="12"/>
      <color rgb="FF000000"/>
      <name val="Lucida Grande"/>
      <family val="2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2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128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textRotation="90"/>
    </xf>
    <xf numFmtId="15" fontId="0" fillId="0" borderId="0" xfId="0" applyNumberFormat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quotePrefix="1" applyFont="1" applyBorder="1" applyAlignment="1">
      <alignment horizontal="center"/>
    </xf>
    <xf numFmtId="0" fontId="2" fillId="0" borderId="5" xfId="0" quotePrefix="1" applyFont="1" applyBorder="1" applyAlignment="1">
      <alignment horizontal="center"/>
    </xf>
    <xf numFmtId="0" fontId="2" fillId="0" borderId="6" xfId="0" quotePrefix="1" applyFont="1" applyBorder="1" applyAlignment="1">
      <alignment horizontal="center"/>
    </xf>
    <xf numFmtId="0" fontId="2" fillId="0" borderId="0" xfId="0" quotePrefix="1" applyFont="1" applyAlignment="1">
      <alignment horizontal="center"/>
    </xf>
    <xf numFmtId="0" fontId="2" fillId="0" borderId="0" xfId="0" applyFont="1" applyAlignment="1">
      <alignment textRotation="90"/>
    </xf>
    <xf numFmtId="0" fontId="2" fillId="0" borderId="4" xfId="0" applyFont="1" applyBorder="1" applyAlignment="1">
      <alignment textRotation="90"/>
    </xf>
    <xf numFmtId="0" fontId="2" fillId="0" borderId="5" xfId="0" applyFont="1" applyBorder="1" applyAlignment="1">
      <alignment textRotation="90"/>
    </xf>
    <xf numFmtId="0" fontId="2" fillId="0" borderId="6" xfId="0" applyFont="1" applyBorder="1" applyAlignment="1">
      <alignment textRotation="9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2" fillId="0" borderId="0" xfId="0" applyFont="1" applyAlignment="1" applyProtection="1">
      <alignment textRotation="90"/>
      <protection locked="0"/>
    </xf>
    <xf numFmtId="0" fontId="4" fillId="0" borderId="0" xfId="0" applyFont="1"/>
    <xf numFmtId="0" fontId="2" fillId="0" borderId="0" xfId="0" quotePrefix="1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7" fillId="0" borderId="10" xfId="0" quotePrefix="1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0" xfId="0" quotePrefix="1" applyFont="1"/>
    <xf numFmtId="0" fontId="7" fillId="0" borderId="11" xfId="0" quotePrefix="1" applyFont="1" applyBorder="1"/>
    <xf numFmtId="0" fontId="7" fillId="0" borderId="0" xfId="0" applyFont="1" applyAlignment="1">
      <alignment textRotation="90"/>
    </xf>
    <xf numFmtId="0" fontId="7" fillId="0" borderId="4" xfId="0" applyFont="1" applyBorder="1" applyAlignment="1">
      <alignment textRotation="90"/>
    </xf>
    <xf numFmtId="0" fontId="7" fillId="0" borderId="5" xfId="0" applyFont="1" applyBorder="1" applyAlignment="1">
      <alignment textRotation="90"/>
    </xf>
    <xf numFmtId="0" fontId="7" fillId="0" borderId="6" xfId="0" applyFont="1" applyBorder="1" applyAlignment="1">
      <alignment textRotation="90"/>
    </xf>
    <xf numFmtId="0" fontId="12" fillId="0" borderId="0" xfId="0" applyFont="1"/>
    <xf numFmtId="0" fontId="8" fillId="0" borderId="8" xfId="0" applyFont="1" applyBorder="1"/>
    <xf numFmtId="0" fontId="7" fillId="0" borderId="10" xfId="0" quotePrefix="1" applyFont="1" applyBorder="1"/>
    <xf numFmtId="0" fontId="7" fillId="2" borderId="0" xfId="0" applyFont="1" applyFill="1"/>
    <xf numFmtId="0" fontId="0" fillId="0" borderId="0" xfId="0" quotePrefix="1"/>
    <xf numFmtId="0" fontId="0" fillId="0" borderId="0" xfId="0" quotePrefix="1" applyAlignment="1">
      <alignment textRotation="90"/>
    </xf>
    <xf numFmtId="0" fontId="2" fillId="0" borderId="0" xfId="0" quotePrefix="1" applyFont="1" applyAlignment="1">
      <alignment textRotation="90"/>
    </xf>
    <xf numFmtId="0" fontId="14" fillId="0" borderId="0" xfId="0" applyFont="1"/>
    <xf numFmtId="0" fontId="2" fillId="0" borderId="0" xfId="0" applyFont="1" applyAlignment="1">
      <alignment vertical="top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3" fillId="3" borderId="12" xfId="4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16" fillId="0" borderId="0" xfId="0" applyFont="1" applyAlignment="1">
      <alignment horizontal="center"/>
    </xf>
    <xf numFmtId="0" fontId="2" fillId="2" borderId="0" xfId="0" applyFont="1" applyFill="1"/>
    <xf numFmtId="0" fontId="2" fillId="0" borderId="0" xfId="0" applyFont="1" applyAlignment="1">
      <alignment horizontal="right"/>
    </xf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7" fillId="0" borderId="4" xfId="0" quotePrefix="1" applyFont="1" applyBorder="1" applyAlignment="1">
      <alignment horizontal="center"/>
    </xf>
    <xf numFmtId="0" fontId="7" fillId="0" borderId="5" xfId="0" quotePrefix="1" applyFont="1" applyBorder="1" applyAlignment="1">
      <alignment horizontal="center"/>
    </xf>
    <xf numFmtId="0" fontId="7" fillId="0" borderId="6" xfId="0" quotePrefix="1" applyFont="1" applyBorder="1" applyAlignment="1">
      <alignment horizontal="center"/>
    </xf>
    <xf numFmtId="0" fontId="1" fillId="7" borderId="13" xfId="73" applyBorder="1"/>
    <xf numFmtId="0" fontId="18" fillId="4" borderId="13" xfId="70" applyBorder="1"/>
    <xf numFmtId="0" fontId="18" fillId="4" borderId="13" xfId="70" applyBorder="1" applyAlignment="1">
      <alignment horizontal="right"/>
    </xf>
    <xf numFmtId="0" fontId="1" fillId="7" borderId="13" xfId="73" applyBorder="1" applyAlignment="1">
      <alignment horizontal="left" indent="1"/>
    </xf>
    <xf numFmtId="0" fontId="19" fillId="5" borderId="0" xfId="71"/>
    <xf numFmtId="0" fontId="0" fillId="7" borderId="13" xfId="73" applyFont="1" applyBorder="1"/>
    <xf numFmtId="0" fontId="0" fillId="0" borderId="22" xfId="0" applyBorder="1"/>
    <xf numFmtId="0" fontId="0" fillId="0" borderId="23" xfId="0" applyBorder="1"/>
    <xf numFmtId="0" fontId="2" fillId="0" borderId="23" xfId="0" applyFont="1" applyBorder="1"/>
    <xf numFmtId="0" fontId="2" fillId="0" borderId="24" xfId="0" applyFont="1" applyBorder="1"/>
    <xf numFmtId="0" fontId="19" fillId="5" borderId="20" xfId="71" applyBorder="1"/>
    <xf numFmtId="0" fontId="19" fillId="5" borderId="0" xfId="71" applyBorder="1"/>
    <xf numFmtId="0" fontId="19" fillId="5" borderId="21" xfId="71" applyBorder="1"/>
    <xf numFmtId="0" fontId="19" fillId="5" borderId="22" xfId="71" applyBorder="1"/>
    <xf numFmtId="0" fontId="19" fillId="5" borderId="23" xfId="71" applyBorder="1"/>
    <xf numFmtId="0" fontId="19" fillId="5" borderId="24" xfId="71" applyBorder="1"/>
    <xf numFmtId="0" fontId="18" fillId="4" borderId="20" xfId="70" applyBorder="1"/>
    <xf numFmtId="0" fontId="18" fillId="4" borderId="0" xfId="70" applyBorder="1"/>
    <xf numFmtId="0" fontId="18" fillId="4" borderId="21" xfId="70" applyBorder="1"/>
    <xf numFmtId="0" fontId="18" fillId="4" borderId="0" xfId="70"/>
    <xf numFmtId="0" fontId="18" fillId="4" borderId="25" xfId="70" applyBorder="1" applyAlignment="1">
      <alignment horizontal="right"/>
    </xf>
    <xf numFmtId="0" fontId="18" fillId="4" borderId="25" xfId="70" applyBorder="1"/>
    <xf numFmtId="0" fontId="1" fillId="6" borderId="0" xfId="72"/>
    <xf numFmtId="0" fontId="9" fillId="0" borderId="0" xfId="0" applyFont="1" applyAlignment="1">
      <alignment textRotation="90"/>
    </xf>
    <xf numFmtId="0" fontId="22" fillId="0" borderId="17" xfId="0" applyFont="1" applyBorder="1" applyAlignment="1">
      <alignment horizontal="center"/>
    </xf>
    <xf numFmtId="0" fontId="22" fillId="0" borderId="18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0" fillId="7" borderId="14" xfId="73" applyFont="1" applyBorder="1" applyAlignment="1">
      <alignment horizontal="center"/>
    </xf>
    <xf numFmtId="0" fontId="20" fillId="7" borderId="15" xfId="73" applyFont="1" applyBorder="1" applyAlignment="1">
      <alignment horizontal="center"/>
    </xf>
    <xf numFmtId="0" fontId="20" fillId="7" borderId="16" xfId="73" applyFont="1" applyBorder="1" applyAlignment="1">
      <alignment horizontal="center"/>
    </xf>
    <xf numFmtId="0" fontId="21" fillId="4" borderId="14" xfId="70" applyFont="1" applyBorder="1" applyAlignment="1">
      <alignment horizontal="center"/>
    </xf>
    <xf numFmtId="0" fontId="21" fillId="4" borderId="15" xfId="70" applyFont="1" applyBorder="1" applyAlignment="1">
      <alignment horizontal="center"/>
    </xf>
    <xf numFmtId="0" fontId="21" fillId="4" borderId="16" xfId="70" applyFont="1" applyBorder="1" applyAlignment="1">
      <alignment horizontal="center"/>
    </xf>
  </cellXfs>
  <cellStyles count="128">
    <cellStyle name="20% - Accent2" xfId="72" builtinId="34"/>
    <cellStyle name="20% - Accent4" xfId="73" builtinId="42"/>
    <cellStyle name="Bad" xfId="41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Good" xfId="70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Neutral" xfId="71" builtinId="2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'1DINJADR'!$B$33</c:f>
          <c:strCache>
            <c:ptCount val="1"/>
            <c:pt idx="0">
              <c:v>Concentration profile at t= 10 (years) from beginning of injection 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947679113475"/>
          <c:y val="0.21511688975316201"/>
          <c:w val="0.78534052026219203"/>
          <c:h val="0.50581538941959703"/>
        </c:manualLayout>
      </c:layout>
      <c:scatterChart>
        <c:scatterStyle val="lineMarker"/>
        <c:varyColors val="0"/>
        <c:ser>
          <c:idx val="0"/>
          <c:order val="0"/>
          <c:tx>
            <c:strRef>
              <c:f>'1DINJADR'!$M$39</c:f>
              <c:strCache>
                <c:ptCount val="1"/>
                <c:pt idx="0">
                  <c:v>C(x,t) (mg/m3)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'1DINJADR'!$A$40:$A$100</c:f>
              <c:numCache>
                <c:formatCode>General</c:formatCode>
                <c:ptCount val="61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</c:numCache>
            </c:numRef>
          </c:xVal>
          <c:yVal>
            <c:numRef>
              <c:f>'1DINJADR'!$M$40:$M$100</c:f>
              <c:numCache>
                <c:formatCode>General</c:formatCode>
                <c:ptCount val="61"/>
                <c:pt idx="0">
                  <c:v>1.814820519662954E-4</c:v>
                </c:pt>
                <c:pt idx="1">
                  <c:v>1.3414574537078817E-3</c:v>
                </c:pt>
                <c:pt idx="2">
                  <c:v>9.9137542768175484E-3</c:v>
                </c:pt>
                <c:pt idx="3">
                  <c:v>7.3258731142016212E-2</c:v>
                </c:pt>
                <c:pt idx="4">
                  <c:v>0.54132999590026154</c:v>
                </c:pt>
                <c:pt idx="5">
                  <c:v>3.9999690231342759</c:v>
                </c:pt>
                <c:pt idx="6">
                  <c:v>3.9999177077409316</c:v>
                </c:pt>
                <c:pt idx="7">
                  <c:v>3.9997911941295774</c:v>
                </c:pt>
                <c:pt idx="8">
                  <c:v>3.9994939268799463</c:v>
                </c:pt>
                <c:pt idx="9">
                  <c:v>3.9988283109071698</c:v>
                </c:pt>
                <c:pt idx="10">
                  <c:v>3.9974082100069408</c:v>
                </c:pt>
                <c:pt idx="11">
                  <c:v>3.9945215870599711</c:v>
                </c:pt>
                <c:pt idx="12">
                  <c:v>3.988931777746509</c:v>
                </c:pt>
                <c:pt idx="13">
                  <c:v>3.9786206942461897</c:v>
                </c:pt>
                <c:pt idx="14">
                  <c:v>3.9605039775495583</c:v>
                </c:pt>
                <c:pt idx="15">
                  <c:v>3.930186511437372</c:v>
                </c:pt>
                <c:pt idx="16">
                  <c:v>3.8818675718650892</c:v>
                </c:pt>
                <c:pt idx="17">
                  <c:v>3.808529735005755</c:v>
                </c:pt>
                <c:pt idx="18">
                  <c:v>3.7025306433200602</c:v>
                </c:pt>
                <c:pt idx="19">
                  <c:v>3.5566430083999205</c:v>
                </c:pt>
                <c:pt idx="20">
                  <c:v>3.3654563044101868</c:v>
                </c:pt>
                <c:pt idx="21">
                  <c:v>3.1268940204845479</c:v>
                </c:pt>
                <c:pt idx="22">
                  <c:v>2.8434716475480251</c:v>
                </c:pt>
                <c:pt idx="23">
                  <c:v>2.522889547248472</c:v>
                </c:pt>
                <c:pt idx="24">
                  <c:v>2.1776640758586039</c:v>
                </c:pt>
                <c:pt idx="25">
                  <c:v>1.8237389276311209</c:v>
                </c:pt>
                <c:pt idx="26">
                  <c:v>1.478314899303466</c:v>
                </c:pt>
                <c:pt idx="27">
                  <c:v>1.1573817996322227</c:v>
                </c:pt>
                <c:pt idx="28">
                  <c:v>0.87353344848674563</c:v>
                </c:pt>
                <c:pt idx="29">
                  <c:v>0.63455547592699912</c:v>
                </c:pt>
                <c:pt idx="30">
                  <c:v>0.44303317400895864</c:v>
                </c:pt>
                <c:pt idx="31">
                  <c:v>0.29692929772419746</c:v>
                </c:pt>
                <c:pt idx="32">
                  <c:v>0.19083880381754253</c:v>
                </c:pt>
                <c:pt idx="33">
                  <c:v>0.11751322941898885</c:v>
                </c:pt>
                <c:pt idx="34">
                  <c:v>6.9275027724085031E-2</c:v>
                </c:pt>
                <c:pt idx="35">
                  <c:v>3.9070214998269244E-2</c:v>
                </c:pt>
                <c:pt idx="36">
                  <c:v>2.106892062179087E-2</c:v>
                </c:pt>
                <c:pt idx="37">
                  <c:v>1.0857942139881506E-2</c:v>
                </c:pt>
                <c:pt idx="38">
                  <c:v>5.3452867940062465E-3</c:v>
                </c:pt>
                <c:pt idx="39">
                  <c:v>2.5127322349915234E-3</c:v>
                </c:pt>
                <c:pt idx="40">
                  <c:v>1.1275271595662267E-3</c:v>
                </c:pt>
                <c:pt idx="41">
                  <c:v>4.828194662694651E-4</c:v>
                </c:pt>
                <c:pt idx="42">
                  <c:v>1.9724491884701276E-4</c:v>
                </c:pt>
                <c:pt idx="43">
                  <c:v>7.6858053497651027E-5</c:v>
                </c:pt>
                <c:pt idx="44">
                  <c:v>2.8559181899919185E-5</c:v>
                </c:pt>
                <c:pt idx="45">
                  <c:v>1.0118005274484039E-5</c:v>
                </c:pt>
                <c:pt idx="46">
                  <c:v>3.4171581492054845E-6</c:v>
                </c:pt>
                <c:pt idx="47">
                  <c:v>1.099997877598839E-6</c:v>
                </c:pt>
                <c:pt idx="48">
                  <c:v>3.3745596942899682E-7</c:v>
                </c:pt>
                <c:pt idx="49">
                  <c:v>9.8648017922658239E-8</c:v>
                </c:pt>
                <c:pt idx="50">
                  <c:v>2.7476282759726106E-8</c:v>
                </c:pt>
                <c:pt idx="51">
                  <c:v>7.2909255776324217E-9</c:v>
                </c:pt>
                <c:pt idx="52">
                  <c:v>1.8429899494226933E-9</c:v>
                </c:pt>
                <c:pt idx="53">
                  <c:v>4.4375455090550598E-10</c:v>
                </c:pt>
                <c:pt idx="54">
                  <c:v>1.0176751940174491E-10</c:v>
                </c:pt>
                <c:pt idx="55">
                  <c:v>2.2227557306627929E-11</c:v>
                </c:pt>
                <c:pt idx="56">
                  <c:v>4.6234115547555075E-12</c:v>
                </c:pt>
                <c:pt idx="57">
                  <c:v>9.1578998508781216E-13</c:v>
                </c:pt>
                <c:pt idx="58">
                  <c:v>1.7273007199931562E-13</c:v>
                </c:pt>
                <c:pt idx="59">
                  <c:v>3.1021065906250755E-14</c:v>
                </c:pt>
                <c:pt idx="60">
                  <c:v>5.3044668482838999E-15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F-7747-A793-299806EEC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4163944"/>
        <c:axId val="-2134154792"/>
      </c:scatterChart>
      <c:valAx>
        <c:axId val="-2134163944"/>
        <c:scaling>
          <c:orientation val="minMax"/>
        </c:scaling>
        <c:delete val="0"/>
        <c:axPos val="b"/>
        <c:title>
          <c:tx>
            <c:strRef>
              <c:f>'1DINJADR'!$A$39</c:f>
              <c:strCache>
                <c:ptCount val="1"/>
                <c:pt idx="0">
                  <c:v>x (meters)</c:v>
                </c:pt>
              </c:strCache>
            </c:strRef>
          </c:tx>
          <c:layout>
            <c:manualLayout>
              <c:xMode val="edge"/>
              <c:yMode val="edge"/>
              <c:x val="0.32722523545677201"/>
              <c:y val="0.82558373905267501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4154792"/>
        <c:crosses val="autoZero"/>
        <c:crossBetween val="midCat"/>
      </c:valAx>
      <c:valAx>
        <c:axId val="-2134154792"/>
        <c:scaling>
          <c:orientation val="minMax"/>
        </c:scaling>
        <c:delete val="0"/>
        <c:axPos val="l"/>
        <c:title>
          <c:tx>
            <c:strRef>
              <c:f>'1DINJADR'!$M$39</c:f>
              <c:strCache>
                <c:ptCount val="1"/>
                <c:pt idx="0">
                  <c:v>C(x,t) (mg/m3)</c:v>
                </c:pt>
              </c:strCache>
            </c:strRef>
          </c:tx>
          <c:layout>
            <c:manualLayout>
              <c:xMode val="edge"/>
              <c:yMode val="edge"/>
              <c:x val="5.2356037673083403E-2"/>
              <c:y val="0.2965124696597630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41639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>
      <c:oddHeader>&amp;A</c:oddHeader>
      <c:oddFooter>Page &amp;P</c:oddFooter>
    </c:headerFooter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'1DFPADR'!$B$31</c:f>
          <c:strCache>
            <c:ptCount val="1"/>
            <c:pt idx="0">
              <c:v>Concentation History for Observation Location at 100 (meters) Downgradient of Source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'1DFPADR'!$I$35</c:f>
              <c:strCache>
                <c:ptCount val="1"/>
                <c:pt idx="0">
                  <c:v>C(x,t) (mg/m3)</c:v>
                </c:pt>
              </c:strCache>
            </c:strRef>
          </c:tx>
          <c:spPr>
            <a:ln w="47625">
              <a:solidFill>
                <a:schemeClr val="tx1"/>
              </a:solidFill>
            </a:ln>
          </c:spPr>
          <c:marker>
            <c:symbol val="circle"/>
            <c:size val="9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'1DFPADR'!$B$36:$B$65</c:f>
              <c:numCache>
                <c:formatCode>General</c:formatCode>
                <c:ptCount val="30"/>
                <c:pt idx="0">
                  <c:v>9.9999999999999995E-7</c:v>
                </c:pt>
                <c:pt idx="1">
                  <c:v>1.0000009999999999</c:v>
                </c:pt>
                <c:pt idx="2">
                  <c:v>2.0000010000000001</c:v>
                </c:pt>
                <c:pt idx="3">
                  <c:v>3.0000010000000001</c:v>
                </c:pt>
                <c:pt idx="4">
                  <c:v>4.0000010000000001</c:v>
                </c:pt>
                <c:pt idx="5">
                  <c:v>5.0000010000000001</c:v>
                </c:pt>
                <c:pt idx="6">
                  <c:v>6.0000010000000001</c:v>
                </c:pt>
                <c:pt idx="7">
                  <c:v>7.0000010000000001</c:v>
                </c:pt>
                <c:pt idx="8">
                  <c:v>8.000001000000001</c:v>
                </c:pt>
                <c:pt idx="9">
                  <c:v>9.000001000000001</c:v>
                </c:pt>
                <c:pt idx="10">
                  <c:v>10.000001000000001</c:v>
                </c:pt>
                <c:pt idx="11">
                  <c:v>11.000001000000001</c:v>
                </c:pt>
                <c:pt idx="12">
                  <c:v>12.000001000000001</c:v>
                </c:pt>
                <c:pt idx="13">
                  <c:v>13.000001000000001</c:v>
                </c:pt>
                <c:pt idx="14">
                  <c:v>14.000001000000001</c:v>
                </c:pt>
                <c:pt idx="15">
                  <c:v>15.000001000000001</c:v>
                </c:pt>
                <c:pt idx="16">
                  <c:v>16.000001000000001</c:v>
                </c:pt>
                <c:pt idx="17">
                  <c:v>17.000001000000001</c:v>
                </c:pt>
                <c:pt idx="18">
                  <c:v>18.000001000000001</c:v>
                </c:pt>
                <c:pt idx="19">
                  <c:v>19.000001000000001</c:v>
                </c:pt>
                <c:pt idx="20">
                  <c:v>20.000001000000001</c:v>
                </c:pt>
                <c:pt idx="21">
                  <c:v>21.000001000000001</c:v>
                </c:pt>
                <c:pt idx="22">
                  <c:v>22.000001000000001</c:v>
                </c:pt>
                <c:pt idx="23">
                  <c:v>23.000001000000001</c:v>
                </c:pt>
                <c:pt idx="24">
                  <c:v>24.000001000000001</c:v>
                </c:pt>
                <c:pt idx="25">
                  <c:v>25.000001000000001</c:v>
                </c:pt>
                <c:pt idx="26">
                  <c:v>26.000001000000001</c:v>
                </c:pt>
                <c:pt idx="27">
                  <c:v>27.000001000000001</c:v>
                </c:pt>
                <c:pt idx="28">
                  <c:v>28.000001000000001</c:v>
                </c:pt>
                <c:pt idx="29">
                  <c:v>29.000001000000001</c:v>
                </c:pt>
              </c:numCache>
            </c:numRef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4.5472330589730802E-91</c:v>
              </c:pt>
              <c:pt idx="2">
                <c:v>2.5558767302992101E-37</c:v>
              </c:pt>
              <c:pt idx="3">
                <c:v>8.1168423903670599E-20</c:v>
              </c:pt>
              <c:pt idx="4">
                <c:v>2.2073626195626099E-11</c:v>
              </c:pt>
              <c:pt idx="5">
                <c:v>1.41841024239276E-6</c:v>
              </c:pt>
              <c:pt idx="6">
                <c:v>1.40834987819975E-3</c:v>
              </c:pt>
              <c:pt idx="7">
                <c:v>0.13002591669358099</c:v>
              </c:pt>
              <c:pt idx="8">
                <c:v>2.7462208813456659</c:v>
              </c:pt>
              <c:pt idx="9">
                <c:v>21.94868221138811</c:v>
              </c:pt>
              <c:pt idx="10">
                <c:v>90.110572651896376</c:v>
              </c:pt>
              <c:pt idx="11">
                <c:v>231.7974259310524</c:v>
              </c:pt>
              <c:pt idx="12">
                <c:v>428.43866755616392</c:v>
              </c:pt>
              <c:pt idx="13">
                <c:v>628.3499115333176</c:v>
              </c:pt>
              <c:pt idx="14">
                <c:v>787.55525336520554</c:v>
              </c:pt>
              <c:pt idx="15">
                <c:v>891.92108057441055</c:v>
              </c:pt>
              <c:pt idx="16">
                <c:v>950.37535281597354</c:v>
              </c:pt>
              <c:pt idx="17">
                <c:v>979.03001957143476</c:v>
              </c:pt>
              <c:pt idx="18">
                <c:v>989.15199582269338</c:v>
              </c:pt>
              <c:pt idx="19">
                <c:v>975.10523513289218</c:v>
              </c:pt>
              <c:pt idx="20">
                <c:v>908.8784594044464</c:v>
              </c:pt>
              <c:pt idx="21">
                <c:v>767.87271954960147</c:v>
              </c:pt>
              <c:pt idx="22">
                <c:v>571.45834925618499</c:v>
              </c:pt>
              <c:pt idx="23">
                <c:v>371.61915586627862</c:v>
              </c:pt>
              <c:pt idx="24">
                <c:v>212.43576675813799</c:v>
              </c:pt>
              <c:pt idx="25">
                <c:v>108.0763885091006</c:v>
              </c:pt>
              <c:pt idx="26">
                <c:v>49.622545134322642</c:v>
              </c:pt>
              <c:pt idx="27">
                <c:v>20.83976875616656</c:v>
              </c:pt>
              <c:pt idx="28">
                <c:v>8.1017346063982796</c:v>
              </c:pt>
              <c:pt idx="29">
                <c:v>2.946070135868577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18B-4448-903F-65BD43F4E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4077320"/>
        <c:axId val="-2070857208"/>
      </c:scatterChart>
      <c:valAx>
        <c:axId val="-2134077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Elapsed Time (years)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70857208"/>
        <c:crosses val="autoZero"/>
        <c:crossBetween val="midCat"/>
      </c:valAx>
      <c:valAx>
        <c:axId val="-2070857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Concentration (mg/L) 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134077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'1DEDADR'!$B$26</c:f>
          <c:strCache>
            <c:ptCount val="1"/>
            <c:pt idx="0">
              <c:v>Concentration history at x= 2 (meters) downgradient of source zone</c:v>
            </c:pt>
          </c:strCache>
        </c:strRef>
      </c:tx>
      <c:layout>
        <c:manualLayout>
          <c:xMode val="edge"/>
          <c:yMode val="edge"/>
          <c:x val="0.131718139790167"/>
          <c:y val="3.673473602684910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372654155495994E-2"/>
          <c:y val="0.16326506208387201"/>
          <c:w val="0.80028920647653601"/>
          <c:h val="0.66376610300761596"/>
        </c:manualLayout>
      </c:layout>
      <c:scatterChart>
        <c:scatterStyle val="lineMarker"/>
        <c:varyColors val="0"/>
        <c:ser>
          <c:idx val="0"/>
          <c:order val="0"/>
          <c:tx>
            <c:strRef>
              <c:f>'1DEDADR'!$D$28</c:f>
              <c:strCache>
                <c:ptCount val="1"/>
                <c:pt idx="0">
                  <c:v>C(x,t)</c:v>
                </c:pt>
              </c:strCache>
            </c:strRef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circle"/>
            <c:size val="2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'1DEDADR'!$C$29:$C$49</c:f>
              <c:numCache>
                <c:formatCode>General</c:formatCode>
                <c:ptCount val="21"/>
                <c:pt idx="0">
                  <c:v>1E-4</c:v>
                </c:pt>
                <c:pt idx="1">
                  <c:v>0.50009999999999999</c:v>
                </c:pt>
                <c:pt idx="2">
                  <c:v>1.0001</c:v>
                </c:pt>
                <c:pt idx="3">
                  <c:v>1.5001</c:v>
                </c:pt>
                <c:pt idx="4">
                  <c:v>2.0000999999999998</c:v>
                </c:pt>
                <c:pt idx="5">
                  <c:v>2.5000999999999998</c:v>
                </c:pt>
                <c:pt idx="6">
                  <c:v>3.0000999999999998</c:v>
                </c:pt>
                <c:pt idx="7">
                  <c:v>3.5000999999999998</c:v>
                </c:pt>
                <c:pt idx="8">
                  <c:v>4.0000999999999998</c:v>
                </c:pt>
                <c:pt idx="9">
                  <c:v>4.5000999999999998</c:v>
                </c:pt>
                <c:pt idx="10">
                  <c:v>5.0000999999999998</c:v>
                </c:pt>
                <c:pt idx="11">
                  <c:v>5.5000999999999998</c:v>
                </c:pt>
                <c:pt idx="12">
                  <c:v>6.0000999999999998</c:v>
                </c:pt>
                <c:pt idx="13">
                  <c:v>6.5000999999999998</c:v>
                </c:pt>
                <c:pt idx="14">
                  <c:v>7.0000999999999998</c:v>
                </c:pt>
                <c:pt idx="15">
                  <c:v>7.5000999999999998</c:v>
                </c:pt>
                <c:pt idx="16">
                  <c:v>8.0000999999999998</c:v>
                </c:pt>
                <c:pt idx="17">
                  <c:v>8.5000999999999998</c:v>
                </c:pt>
                <c:pt idx="18">
                  <c:v>9.0000999999999998</c:v>
                </c:pt>
                <c:pt idx="19">
                  <c:v>9.5000999999999998</c:v>
                </c:pt>
                <c:pt idx="20">
                  <c:v>10.0001</c:v>
                </c:pt>
              </c:numCache>
            </c:numRef>
          </c:xVal>
          <c:yVal>
            <c:numRef>
              <c:f>'1DEDADR'!$D$29:$D$49</c:f>
              <c:numCache>
                <c:formatCode>General</c:formatCode>
                <c:ptCount val="21"/>
                <c:pt idx="0">
                  <c:v>0</c:v>
                </c:pt>
                <c:pt idx="1">
                  <c:v>3.5086892451649563E-10</c:v>
                </c:pt>
                <c:pt idx="2">
                  <c:v>2.6969779530965923E-2</c:v>
                </c:pt>
                <c:pt idx="3">
                  <c:v>3.2289276451249891</c:v>
                </c:pt>
                <c:pt idx="4">
                  <c:v>15.096218057168221</c:v>
                </c:pt>
                <c:pt idx="5">
                  <c:v>22.157747723416644</c:v>
                </c:pt>
                <c:pt idx="6">
                  <c:v>21.000329747856892</c:v>
                </c:pt>
                <c:pt idx="7">
                  <c:v>17.198045336879066</c:v>
                </c:pt>
                <c:pt idx="8">
                  <c:v>13.536806986869927</c:v>
                </c:pt>
                <c:pt idx="9">
                  <c:v>10.562679582600618</c:v>
                </c:pt>
                <c:pt idx="10">
                  <c:v>8.2287470724833334</c:v>
                </c:pt>
                <c:pt idx="11">
                  <c:v>6.408843680419972</c:v>
                </c:pt>
                <c:pt idx="12">
                  <c:v>4.991243534910252</c:v>
                </c:pt>
                <c:pt idx="13">
                  <c:v>3.8871875555940441</c:v>
                </c:pt>
                <c:pt idx="14">
                  <c:v>3.027345026541461</c:v>
                </c:pt>
                <c:pt idx="15">
                  <c:v>2.3576987074627236</c:v>
                </c:pt>
                <c:pt idx="16">
                  <c:v>1.8361776024479737</c:v>
                </c:pt>
                <c:pt idx="17">
                  <c:v>1.4300165549052093</c:v>
                </c:pt>
                <c:pt idx="18">
                  <c:v>1.1136980127888807</c:v>
                </c:pt>
                <c:pt idx="19">
                  <c:v>0.86734888446716418</c:v>
                </c:pt>
                <c:pt idx="20">
                  <c:v>0.6754919904193244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27-9E42-BBF7-9B33CC355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2572936"/>
        <c:axId val="-2082873768"/>
      </c:scatterChart>
      <c:valAx>
        <c:axId val="-20825729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(t)</a:t>
                </a:r>
              </a:p>
            </c:rich>
          </c:tx>
          <c:layout>
            <c:manualLayout>
              <c:xMode val="edge"/>
              <c:yMode val="edge"/>
              <c:x val="0.412540589320678"/>
              <c:y val="0.877549708700809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082873768"/>
        <c:crosses val="autoZero"/>
        <c:crossBetween val="midCat"/>
      </c:valAx>
      <c:valAx>
        <c:axId val="-2082873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Concentration (M/L^3)</a:t>
                </a:r>
              </a:p>
            </c:rich>
          </c:tx>
          <c:layout>
            <c:manualLayout>
              <c:xMode val="edge"/>
              <c:yMode val="edge"/>
              <c:x val="5.9405844862177599E-2"/>
              <c:y val="0.3020403648551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08257293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>
      <c:oddHeader>&amp;A</c:oddHeader>
      <c:oddFooter>Page &amp;P</c:oddFooter>
    </c:headerFooter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'1DIMPAD'!$B$31</c:f>
          <c:strCache>
            <c:ptCount val="1"/>
            <c:pt idx="0">
              <c:v>Concentration history at x=5 (meters) downgradient of source</c:v>
            </c:pt>
          </c:strCache>
        </c:strRef>
      </c:tx>
      <c:layout>
        <c:manualLayout>
          <c:xMode val="edge"/>
          <c:yMode val="edge"/>
          <c:x val="0.12299499327290001"/>
          <c:y val="4.080376316596789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1608769492"/>
          <c:y val="0.149087585642704"/>
          <c:w val="0.74442907871810104"/>
          <c:h val="0.69866653032007398"/>
        </c:manualLayout>
      </c:layout>
      <c:scatterChart>
        <c:scatterStyle val="lineMarker"/>
        <c:varyColors val="0"/>
        <c:ser>
          <c:idx val="0"/>
          <c:order val="0"/>
          <c:tx>
            <c:strRef>
              <c:f>'1DIMPAD'!$D$34</c:f>
              <c:strCache>
                <c:ptCount val="1"/>
                <c:pt idx="0">
                  <c:v>C(x,t) (mg/m^3)</c:v>
                </c:pt>
              </c:strCache>
            </c:strRef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'1DIMPAD'!$C$35:$C$54</c:f>
              <c:numCache>
                <c:formatCode>General</c:formatCode>
                <c:ptCount val="20"/>
                <c:pt idx="0">
                  <c:v>1E-4</c:v>
                </c:pt>
                <c:pt idx="1">
                  <c:v>0.50009999999999999</c:v>
                </c:pt>
                <c:pt idx="2">
                  <c:v>1.0001</c:v>
                </c:pt>
                <c:pt idx="3">
                  <c:v>1.5001</c:v>
                </c:pt>
                <c:pt idx="4">
                  <c:v>2.0000999999999998</c:v>
                </c:pt>
                <c:pt idx="5">
                  <c:v>2.5000999999999998</c:v>
                </c:pt>
                <c:pt idx="6">
                  <c:v>3.0000999999999998</c:v>
                </c:pt>
                <c:pt idx="7">
                  <c:v>3.5000999999999998</c:v>
                </c:pt>
                <c:pt idx="8">
                  <c:v>4.0000999999999998</c:v>
                </c:pt>
                <c:pt idx="9">
                  <c:v>4.5000999999999998</c:v>
                </c:pt>
                <c:pt idx="10">
                  <c:v>5.0000999999999998</c:v>
                </c:pt>
                <c:pt idx="11">
                  <c:v>5.5000999999999998</c:v>
                </c:pt>
                <c:pt idx="12">
                  <c:v>6.0000999999999998</c:v>
                </c:pt>
                <c:pt idx="13">
                  <c:v>6.5000999999999998</c:v>
                </c:pt>
                <c:pt idx="14">
                  <c:v>7.0000999999999998</c:v>
                </c:pt>
                <c:pt idx="15">
                  <c:v>7.5000999999999998</c:v>
                </c:pt>
                <c:pt idx="16">
                  <c:v>8.0000999999999998</c:v>
                </c:pt>
                <c:pt idx="17">
                  <c:v>8.5000999999999998</c:v>
                </c:pt>
                <c:pt idx="18">
                  <c:v>9.0000999999999998</c:v>
                </c:pt>
                <c:pt idx="19">
                  <c:v>9.5000999999999998</c:v>
                </c:pt>
              </c:numCache>
            </c:numRef>
          </c:xVal>
          <c:yVal>
            <c:numRef>
              <c:f>'1DIMPAD'!$D$35:$D$54</c:f>
              <c:numCache>
                <c:formatCode>General</c:formatCode>
                <c:ptCount val="20"/>
                <c:pt idx="0">
                  <c:v>0</c:v>
                </c:pt>
                <c:pt idx="1">
                  <c:v>2.6827664764414151E-2</c:v>
                </c:pt>
                <c:pt idx="2">
                  <c:v>5.9493393695737344</c:v>
                </c:pt>
                <c:pt idx="3">
                  <c:v>23.654430874589877</c:v>
                </c:pt>
                <c:pt idx="4">
                  <c:v>35.207632644725109</c:v>
                </c:pt>
                <c:pt idx="5">
                  <c:v>35.681768552096372</c:v>
                </c:pt>
                <c:pt idx="6">
                  <c:v>29.96765223641637</c:v>
                </c:pt>
                <c:pt idx="7">
                  <c:v>22.661018611235519</c:v>
                </c:pt>
                <c:pt idx="8">
                  <c:v>16.072096378777609</c:v>
                </c:pt>
                <c:pt idx="9">
                  <c:v>10.933127587302376</c:v>
                </c:pt>
                <c:pt idx="10">
                  <c:v>7.2282812738145772</c:v>
                </c:pt>
                <c:pt idx="11">
                  <c:v>4.6831882619484961</c:v>
                </c:pt>
                <c:pt idx="12">
                  <c:v>2.9896845176393865</c:v>
                </c:pt>
                <c:pt idx="13">
                  <c:v>1.8875369790474366</c:v>
                </c:pt>
                <c:pt idx="14">
                  <c:v>1.1816344861577091</c:v>
                </c:pt>
                <c:pt idx="15">
                  <c:v>0.7348600866417172</c:v>
                </c:pt>
                <c:pt idx="16">
                  <c:v>0.45463425782337519</c:v>
                </c:pt>
                <c:pt idx="17">
                  <c:v>0.28009703333185332</c:v>
                </c:pt>
                <c:pt idx="18">
                  <c:v>0.17198477395402992</c:v>
                </c:pt>
                <c:pt idx="19">
                  <c:v>0.10531138657454227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7-994E-8C94-EE43397CC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2699656"/>
        <c:axId val="-2082889384"/>
      </c:scatterChart>
      <c:valAx>
        <c:axId val="-2082699656"/>
        <c:scaling>
          <c:orientation val="minMax"/>
        </c:scaling>
        <c:delete val="0"/>
        <c:axPos val="b"/>
        <c:title>
          <c:tx>
            <c:strRef>
              <c:f>'1DIMPAD'!$C$34</c:f>
              <c:strCache>
                <c:ptCount val="1"/>
                <c:pt idx="0">
                  <c:v>Time (t)</c:v>
                </c:pt>
              </c:strCache>
            </c:strRef>
          </c:tx>
          <c:layout>
            <c:manualLayout>
              <c:xMode val="edge"/>
              <c:yMode val="edge"/>
              <c:x val="0.43829749222523601"/>
              <c:y val="0.90768764699867099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082889384"/>
        <c:crosses val="autoZero"/>
        <c:crossBetween val="midCat"/>
      </c:valAx>
      <c:valAx>
        <c:axId val="-2082889384"/>
        <c:scaling>
          <c:orientation val="minMax"/>
        </c:scaling>
        <c:delete val="0"/>
        <c:axPos val="l"/>
        <c:title>
          <c:tx>
            <c:strRef>
              <c:f>'1DIMPAD'!$D$34</c:f>
              <c:strCache>
                <c:ptCount val="1"/>
                <c:pt idx="0">
                  <c:v>C(x,t) (mg/m^3)</c:v>
                </c:pt>
              </c:strCache>
            </c:strRef>
          </c:tx>
          <c:layout>
            <c:manualLayout>
              <c:xMode val="edge"/>
              <c:yMode val="edge"/>
              <c:x val="2.19590198284038E-2"/>
              <c:y val="0.40637079455977099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08269965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>
      <c:oddHeader>&amp;A</c:oddHeader>
      <c:oddFooter>Page &amp;P</c:oddFooter>
    </c:headerFooter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'1DCRAD'!$B$29</c:f>
          <c:strCache>
            <c:ptCount val="1"/>
            <c:pt idx="0">
              <c:v>Concentration history at x= 100 (meters) downgradient of source zone 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'1DCRAD'!$I$34</c:f>
              <c:strCache>
                <c:ptCount val="1"/>
                <c:pt idx="0">
                  <c:v>C(x,t) (mg/m3)</c:v>
                </c:pt>
              </c:strCache>
            </c:strRef>
          </c:tx>
          <c:spPr>
            <a:ln w="47625">
              <a:solidFill>
                <a:schemeClr val="tx1"/>
              </a:solidFill>
            </a:ln>
          </c:spPr>
          <c:marker>
            <c:symbol val="circle"/>
            <c:size val="9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'1DCRAD'!$B$35:$B$64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'1DCRAD'!$I$35:$I$64</c:f>
              <c:numCache>
                <c:formatCode>General</c:formatCode>
                <c:ptCount val="30"/>
                <c:pt idx="0">
                  <c:v>4.5461013459540168E-91</c:v>
                </c:pt>
                <c:pt idx="1">
                  <c:v>2.5557203831984791E-37</c:v>
                </c:pt>
                <c:pt idx="2">
                  <c:v>8.1166282602767012E-20</c:v>
                </c:pt>
                <c:pt idx="3">
                  <c:v>2.2073312724519014E-11</c:v>
                </c:pt>
                <c:pt idx="4">
                  <c:v>1.4183980905778477E-6</c:v>
                </c:pt>
                <c:pt idx="5">
                  <c:v>1.4083421136167748E-3</c:v>
                </c:pt>
                <c:pt idx="6">
                  <c:v>0.13002543815981224</c:v>
                </c:pt>
                <c:pt idx="7">
                  <c:v>2.7462140127508841</c:v>
                </c:pt>
                <c:pt idx="8">
                  <c:v>21.948644780104658</c:v>
                </c:pt>
                <c:pt idx="9">
                  <c:v>90.11046887498307</c:v>
                </c:pt>
                <c:pt idx="10">
                  <c:v>231.79724966309482</c:v>
                </c:pt>
                <c:pt idx="11">
                  <c:v>428.43845999470352</c:v>
                </c:pt>
                <c:pt idx="12">
                  <c:v>628.34972698202932</c:v>
                </c:pt>
                <c:pt idx="13">
                  <c:v>787.55512168299185</c:v>
                </c:pt>
                <c:pt idx="14">
                  <c:v>891.92100315612754</c:v>
                </c:pt>
                <c:pt idx="15">
                  <c:v>950.37672022053994</c:v>
                </c:pt>
                <c:pt idx="16">
                  <c:v>979.16002656437331</c:v>
                </c:pt>
                <c:pt idx="17">
                  <c:v>991.89820876594013</c:v>
                </c:pt>
                <c:pt idx="18">
                  <c:v>997.05391427461961</c:v>
                </c:pt>
                <c:pt idx="19">
                  <c:v>998.98903094838158</c:v>
                </c:pt>
                <c:pt idx="20">
                  <c:v>999.67014510362173</c:v>
                </c:pt>
                <c:pt idx="21">
                  <c:v>999.89701669039198</c:v>
                </c:pt>
                <c:pt idx="22">
                  <c:v>999.96906736184326</c:v>
                </c:pt>
                <c:pt idx="23">
                  <c:v>999.99102011211971</c:v>
                </c:pt>
                <c:pt idx="24">
                  <c:v>999.99747049868142</c:v>
                </c:pt>
                <c:pt idx="25">
                  <c:v>999.99930629926996</c:v>
                </c:pt>
                <c:pt idx="26">
                  <c:v>999.99981424404814</c:v>
                </c:pt>
                <c:pt idx="27">
                  <c:v>999.99995131037167</c:v>
                </c:pt>
                <c:pt idx="28">
                  <c:v>999.99998748013195</c:v>
                </c:pt>
                <c:pt idx="29">
                  <c:v>999.99999683584383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CF-6445-89B1-50014D5E1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919272"/>
        <c:axId val="-2083259336"/>
      </c:scatterChart>
      <c:valAx>
        <c:axId val="-2069919272"/>
        <c:scaling>
          <c:orientation val="minMax"/>
        </c:scaling>
        <c:delete val="0"/>
        <c:axPos val="b"/>
        <c:minorGridlines/>
        <c:title>
          <c:tx>
            <c:strRef>
              <c:f>'1DCRAD'!$B$34</c:f>
              <c:strCache>
                <c:ptCount val="1"/>
                <c:pt idx="0">
                  <c:v>t (years)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-2083259336"/>
        <c:crosses val="autoZero"/>
        <c:crossBetween val="midCat"/>
      </c:valAx>
      <c:valAx>
        <c:axId val="-2083259336"/>
        <c:scaling>
          <c:orientation val="minMax"/>
        </c:scaling>
        <c:delete val="0"/>
        <c:axPos val="l"/>
        <c:majorGridlines/>
        <c:minorGridlines/>
        <c:title>
          <c:tx>
            <c:strRef>
              <c:f>'1DCRAD'!$I$34</c:f>
              <c:strCache>
                <c:ptCount val="1"/>
                <c:pt idx="0">
                  <c:v>C(x,t) (mg/m3)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69919272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'1DINJAD'!$B$33</c:f>
          <c:strCache>
            <c:ptCount val="1"/>
            <c:pt idx="0">
              <c:v>Concentration profile at t= 10 (years) from beginning of injection 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947679113475"/>
          <c:y val="0.21511688975316201"/>
          <c:w val="0.78534052026219203"/>
          <c:h val="0.50581538941959703"/>
        </c:manualLayout>
      </c:layout>
      <c:scatterChart>
        <c:scatterStyle val="lineMarker"/>
        <c:varyColors val="0"/>
        <c:ser>
          <c:idx val="0"/>
          <c:order val="0"/>
          <c:tx>
            <c:strRef>
              <c:f>'1DINJAD'!$M$39</c:f>
              <c:strCache>
                <c:ptCount val="1"/>
                <c:pt idx="0">
                  <c:v>C(x,t) (mg/m3)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'1DINJAD'!$A$40:$A$100</c:f>
              <c:numCache>
                <c:formatCode>General</c:formatCode>
                <c:ptCount val="61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</c:numCache>
            </c:numRef>
          </c:xVal>
          <c:yVal>
            <c:numRef>
              <c:f>'1DINJAD'!$M$40:$M$100</c:f>
              <c:numCache>
                <c:formatCode>General</c:formatCode>
                <c:ptCount val="61"/>
                <c:pt idx="0">
                  <c:v>1.814820519662954E-4</c:v>
                </c:pt>
                <c:pt idx="1">
                  <c:v>1.3414574537078817E-3</c:v>
                </c:pt>
                <c:pt idx="2">
                  <c:v>9.9137542768175484E-3</c:v>
                </c:pt>
                <c:pt idx="3">
                  <c:v>7.3258731142016212E-2</c:v>
                </c:pt>
                <c:pt idx="4">
                  <c:v>0.54132999590026154</c:v>
                </c:pt>
                <c:pt idx="5">
                  <c:v>3.9999690231342759</c:v>
                </c:pt>
                <c:pt idx="6">
                  <c:v>3.9999177077409316</c:v>
                </c:pt>
                <c:pt idx="7">
                  <c:v>3.9997911941295774</c:v>
                </c:pt>
                <c:pt idx="8">
                  <c:v>3.9994939268799463</c:v>
                </c:pt>
                <c:pt idx="9">
                  <c:v>3.9988283109071698</c:v>
                </c:pt>
                <c:pt idx="10">
                  <c:v>3.9974082100069408</c:v>
                </c:pt>
                <c:pt idx="11">
                  <c:v>3.9945215870599711</c:v>
                </c:pt>
                <c:pt idx="12">
                  <c:v>3.988931777746509</c:v>
                </c:pt>
                <c:pt idx="13">
                  <c:v>3.9786206942461897</c:v>
                </c:pt>
                <c:pt idx="14">
                  <c:v>3.9605039775495583</c:v>
                </c:pt>
                <c:pt idx="15">
                  <c:v>3.930186511437372</c:v>
                </c:pt>
                <c:pt idx="16">
                  <c:v>3.8818675718650892</c:v>
                </c:pt>
                <c:pt idx="17">
                  <c:v>3.808529735005755</c:v>
                </c:pt>
                <c:pt idx="18">
                  <c:v>3.7025306433200602</c:v>
                </c:pt>
                <c:pt idx="19">
                  <c:v>3.5566430083999205</c:v>
                </c:pt>
                <c:pt idx="20">
                  <c:v>3.3654563044101868</c:v>
                </c:pt>
                <c:pt idx="21">
                  <c:v>3.1268940204845479</c:v>
                </c:pt>
                <c:pt idx="22">
                  <c:v>2.8434716475480251</c:v>
                </c:pt>
                <c:pt idx="23">
                  <c:v>2.522889547248472</c:v>
                </c:pt>
                <c:pt idx="24">
                  <c:v>2.1776640758586039</c:v>
                </c:pt>
                <c:pt idx="25">
                  <c:v>1.8237389276311209</c:v>
                </c:pt>
                <c:pt idx="26">
                  <c:v>1.478314899303466</c:v>
                </c:pt>
                <c:pt idx="27">
                  <c:v>1.1573817996322227</c:v>
                </c:pt>
                <c:pt idx="28">
                  <c:v>0.87353344848674563</c:v>
                </c:pt>
                <c:pt idx="29">
                  <c:v>0.63455547592699912</c:v>
                </c:pt>
                <c:pt idx="30">
                  <c:v>0.44303317400895864</c:v>
                </c:pt>
                <c:pt idx="31">
                  <c:v>0.29692929772419746</c:v>
                </c:pt>
                <c:pt idx="32">
                  <c:v>0.19083880381754253</c:v>
                </c:pt>
                <c:pt idx="33">
                  <c:v>0.11751322941898885</c:v>
                </c:pt>
                <c:pt idx="34">
                  <c:v>6.9275027724085031E-2</c:v>
                </c:pt>
                <c:pt idx="35">
                  <c:v>3.9070214998269244E-2</c:v>
                </c:pt>
                <c:pt idx="36">
                  <c:v>2.106892062179087E-2</c:v>
                </c:pt>
                <c:pt idx="37">
                  <c:v>1.0857942139881506E-2</c:v>
                </c:pt>
                <c:pt idx="38">
                  <c:v>5.3452867940062465E-3</c:v>
                </c:pt>
                <c:pt idx="39">
                  <c:v>2.5127322349915234E-3</c:v>
                </c:pt>
                <c:pt idx="40">
                  <c:v>1.1275271595662267E-3</c:v>
                </c:pt>
                <c:pt idx="41">
                  <c:v>4.828194662694651E-4</c:v>
                </c:pt>
                <c:pt idx="42">
                  <c:v>1.9724491884701276E-4</c:v>
                </c:pt>
                <c:pt idx="43">
                  <c:v>7.6858053497651027E-5</c:v>
                </c:pt>
                <c:pt idx="44">
                  <c:v>2.8559181899919185E-5</c:v>
                </c:pt>
                <c:pt idx="45">
                  <c:v>1.0118005274484039E-5</c:v>
                </c:pt>
                <c:pt idx="46">
                  <c:v>3.4171581492054845E-6</c:v>
                </c:pt>
                <c:pt idx="47">
                  <c:v>1.099997877598839E-6</c:v>
                </c:pt>
                <c:pt idx="48">
                  <c:v>3.3745596942899682E-7</c:v>
                </c:pt>
                <c:pt idx="49">
                  <c:v>9.8648017922658239E-8</c:v>
                </c:pt>
                <c:pt idx="50">
                  <c:v>2.7476282759726106E-8</c:v>
                </c:pt>
                <c:pt idx="51">
                  <c:v>7.2909255776324217E-9</c:v>
                </c:pt>
                <c:pt idx="52">
                  <c:v>1.8429899494226933E-9</c:v>
                </c:pt>
                <c:pt idx="53">
                  <c:v>4.4375455090550598E-10</c:v>
                </c:pt>
                <c:pt idx="54">
                  <c:v>1.0176751940174491E-10</c:v>
                </c:pt>
                <c:pt idx="55">
                  <c:v>2.2227557306627929E-11</c:v>
                </c:pt>
                <c:pt idx="56">
                  <c:v>4.6234115547555075E-12</c:v>
                </c:pt>
                <c:pt idx="57">
                  <c:v>9.1578998508781216E-13</c:v>
                </c:pt>
                <c:pt idx="58">
                  <c:v>1.7273007199931562E-13</c:v>
                </c:pt>
                <c:pt idx="59">
                  <c:v>3.1021065906250755E-14</c:v>
                </c:pt>
                <c:pt idx="60">
                  <c:v>5.3044668482838999E-15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DE-E940-94C3-2A97AC702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2897816"/>
        <c:axId val="-2083146072"/>
      </c:scatterChart>
      <c:valAx>
        <c:axId val="-2082897816"/>
        <c:scaling>
          <c:orientation val="minMax"/>
        </c:scaling>
        <c:delete val="0"/>
        <c:axPos val="b"/>
        <c:title>
          <c:tx>
            <c:strRef>
              <c:f>'1DINJAD'!$A$39</c:f>
              <c:strCache>
                <c:ptCount val="1"/>
                <c:pt idx="0">
                  <c:v>x (meters)</c:v>
                </c:pt>
              </c:strCache>
            </c:strRef>
          </c:tx>
          <c:layout>
            <c:manualLayout>
              <c:xMode val="edge"/>
              <c:yMode val="edge"/>
              <c:x val="0.32722523545677201"/>
              <c:y val="0.82558373905267501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083146072"/>
        <c:crosses val="autoZero"/>
        <c:crossBetween val="midCat"/>
      </c:valAx>
      <c:valAx>
        <c:axId val="-2083146072"/>
        <c:scaling>
          <c:orientation val="minMax"/>
        </c:scaling>
        <c:delete val="0"/>
        <c:axPos val="l"/>
        <c:title>
          <c:tx>
            <c:strRef>
              <c:f>'1DINJAD'!$M$39</c:f>
              <c:strCache>
                <c:ptCount val="1"/>
                <c:pt idx="0">
                  <c:v>C(x,t) (mg/m3)</c:v>
                </c:pt>
              </c:strCache>
            </c:strRef>
          </c:tx>
          <c:layout>
            <c:manualLayout>
              <c:xMode val="edge"/>
              <c:yMode val="edge"/>
              <c:x val="5.2356037673083403E-2"/>
              <c:y val="0.2965124696597630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0828978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>
      <c:oddHeader>&amp;A</c:oddHeader>
      <c:oddFooter>Page &amp;P</c:oddFooter>
    </c:headerFooter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'1DFPAD'!$B$31</c:f>
          <c:strCache>
            <c:ptCount val="1"/>
            <c:pt idx="0">
              <c:v>Concentation History for Observation Location at 100 (meters) Downgradient of Source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'1DFPAD'!$I$35</c:f>
              <c:strCache>
                <c:ptCount val="1"/>
                <c:pt idx="0">
                  <c:v>C(x,t) (mg/m3)</c:v>
                </c:pt>
              </c:strCache>
            </c:strRef>
          </c:tx>
          <c:spPr>
            <a:ln w="47625">
              <a:solidFill>
                <a:schemeClr val="tx1"/>
              </a:solidFill>
            </a:ln>
          </c:spPr>
          <c:marker>
            <c:symbol val="circle"/>
            <c:size val="9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'1DFPAD'!$B$36:$B$65</c:f>
              <c:numCache>
                <c:formatCode>General</c:formatCode>
                <c:ptCount val="30"/>
                <c:pt idx="0">
                  <c:v>9.9999999999999995E-7</c:v>
                </c:pt>
                <c:pt idx="1">
                  <c:v>1.0000009999999999</c:v>
                </c:pt>
                <c:pt idx="2">
                  <c:v>2.0000010000000001</c:v>
                </c:pt>
                <c:pt idx="3">
                  <c:v>3.0000010000000001</c:v>
                </c:pt>
                <c:pt idx="4">
                  <c:v>4.0000010000000001</c:v>
                </c:pt>
                <c:pt idx="5">
                  <c:v>5.0000010000000001</c:v>
                </c:pt>
                <c:pt idx="6">
                  <c:v>6.0000010000000001</c:v>
                </c:pt>
                <c:pt idx="7">
                  <c:v>7.0000010000000001</c:v>
                </c:pt>
                <c:pt idx="8">
                  <c:v>8.000001000000001</c:v>
                </c:pt>
                <c:pt idx="9">
                  <c:v>9.000001000000001</c:v>
                </c:pt>
                <c:pt idx="10">
                  <c:v>10.000001000000001</c:v>
                </c:pt>
                <c:pt idx="11">
                  <c:v>11.000001000000001</c:v>
                </c:pt>
                <c:pt idx="12">
                  <c:v>12.000001000000001</c:v>
                </c:pt>
                <c:pt idx="13">
                  <c:v>13.000001000000001</c:v>
                </c:pt>
                <c:pt idx="14">
                  <c:v>14.000001000000001</c:v>
                </c:pt>
                <c:pt idx="15">
                  <c:v>15.000001000000001</c:v>
                </c:pt>
                <c:pt idx="16">
                  <c:v>16.000001000000001</c:v>
                </c:pt>
                <c:pt idx="17">
                  <c:v>17.000001000000001</c:v>
                </c:pt>
                <c:pt idx="18">
                  <c:v>18.000001000000001</c:v>
                </c:pt>
                <c:pt idx="19">
                  <c:v>19.000001000000001</c:v>
                </c:pt>
                <c:pt idx="20">
                  <c:v>20.000001000000001</c:v>
                </c:pt>
                <c:pt idx="21">
                  <c:v>21.000001000000001</c:v>
                </c:pt>
                <c:pt idx="22">
                  <c:v>22.000001000000001</c:v>
                </c:pt>
                <c:pt idx="23">
                  <c:v>23.000001000000001</c:v>
                </c:pt>
                <c:pt idx="24">
                  <c:v>24.000001000000001</c:v>
                </c:pt>
                <c:pt idx="25">
                  <c:v>25.000001000000001</c:v>
                </c:pt>
                <c:pt idx="26">
                  <c:v>26.000001000000001</c:v>
                </c:pt>
                <c:pt idx="27">
                  <c:v>27.000001000000001</c:v>
                </c:pt>
                <c:pt idx="28">
                  <c:v>28.000001000000001</c:v>
                </c:pt>
                <c:pt idx="29">
                  <c:v>29.000001000000001</c:v>
                </c:pt>
              </c:numCache>
            </c:numRef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4.5472330589730399E-91</c:v>
              </c:pt>
              <c:pt idx="2">
                <c:v>2.5558767302992101E-37</c:v>
              </c:pt>
              <c:pt idx="3">
                <c:v>8.1168423903670395E-20</c:v>
              </c:pt>
              <c:pt idx="4">
                <c:v>2.2073626195626099E-11</c:v>
              </c:pt>
              <c:pt idx="5">
                <c:v>1.41841024239276E-6</c:v>
              </c:pt>
              <c:pt idx="6">
                <c:v>1.40834987819975E-3</c:v>
              </c:pt>
              <c:pt idx="7">
                <c:v>0.13002591669358099</c:v>
              </c:pt>
              <c:pt idx="8">
                <c:v>2.7462208813456659</c:v>
              </c:pt>
              <c:pt idx="9">
                <c:v>21.948682211388132</c:v>
              </c:pt>
              <c:pt idx="10">
                <c:v>90.110572651896376</c:v>
              </c:pt>
              <c:pt idx="11">
                <c:v>231.7974259310524</c:v>
              </c:pt>
              <c:pt idx="12">
                <c:v>428.43866755616392</c:v>
              </c:pt>
              <c:pt idx="13">
                <c:v>628.3499115333176</c:v>
              </c:pt>
              <c:pt idx="14">
                <c:v>787.55525336520577</c:v>
              </c:pt>
              <c:pt idx="15">
                <c:v>891.92108057441055</c:v>
              </c:pt>
              <c:pt idx="16">
                <c:v>950.37535281597377</c:v>
              </c:pt>
              <c:pt idx="17">
                <c:v>979.03001957143476</c:v>
              </c:pt>
              <c:pt idx="18">
                <c:v>989.15199582269338</c:v>
              </c:pt>
              <c:pt idx="19">
                <c:v>975.10523513289218</c:v>
              </c:pt>
              <c:pt idx="20">
                <c:v>908.8784594044464</c:v>
              </c:pt>
              <c:pt idx="21">
                <c:v>767.87271954960147</c:v>
              </c:pt>
              <c:pt idx="22">
                <c:v>571.45834925618499</c:v>
              </c:pt>
              <c:pt idx="23">
                <c:v>371.61915586627862</c:v>
              </c:pt>
              <c:pt idx="24">
                <c:v>212.43576675813799</c:v>
              </c:pt>
              <c:pt idx="25">
                <c:v>108.0763885091006</c:v>
              </c:pt>
              <c:pt idx="26">
                <c:v>49.622545134322642</c:v>
              </c:pt>
              <c:pt idx="27">
                <c:v>20.83976875616656</c:v>
              </c:pt>
              <c:pt idx="28">
                <c:v>8.1017346063982796</c:v>
              </c:pt>
              <c:pt idx="29">
                <c:v>2.946070135868577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168-334E-991A-E1CB8403B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2806840"/>
        <c:axId val="-2082801672"/>
      </c:scatterChart>
      <c:valAx>
        <c:axId val="-2082806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Elapsed Time (years)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82801672"/>
        <c:crosses val="autoZero"/>
        <c:crossBetween val="midCat"/>
      </c:valAx>
      <c:valAx>
        <c:axId val="-208280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Concentration (mg/L) 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82806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'1DEDAD'!$B$26</c:f>
          <c:strCache>
            <c:ptCount val="1"/>
            <c:pt idx="0">
              <c:v>Concentration history at x= 2 (meters) downgradient of source zone</c:v>
            </c:pt>
          </c:strCache>
        </c:strRef>
      </c:tx>
      <c:layout>
        <c:manualLayout>
          <c:xMode val="edge"/>
          <c:yMode val="edge"/>
          <c:x val="0.131718139790167"/>
          <c:y val="3.673473602684910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372654155495994E-2"/>
          <c:y val="0.16326506208387201"/>
          <c:w val="0.80028920647653601"/>
          <c:h val="0.66376610300761596"/>
        </c:manualLayout>
      </c:layout>
      <c:scatterChart>
        <c:scatterStyle val="lineMarker"/>
        <c:varyColors val="0"/>
        <c:ser>
          <c:idx val="0"/>
          <c:order val="0"/>
          <c:tx>
            <c:strRef>
              <c:f>'1DEDAD'!$D$28</c:f>
              <c:strCache>
                <c:ptCount val="1"/>
                <c:pt idx="0">
                  <c:v>C(x,t)</c:v>
                </c:pt>
              </c:strCache>
            </c:strRef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circle"/>
            <c:size val="2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'1DEDAD'!$C$29:$C$49</c:f>
              <c:numCache>
                <c:formatCode>General</c:formatCode>
                <c:ptCount val="21"/>
                <c:pt idx="0">
                  <c:v>1E-4</c:v>
                </c:pt>
                <c:pt idx="1">
                  <c:v>0.50009999999999999</c:v>
                </c:pt>
                <c:pt idx="2">
                  <c:v>1.0001</c:v>
                </c:pt>
                <c:pt idx="3">
                  <c:v>1.5001</c:v>
                </c:pt>
                <c:pt idx="4">
                  <c:v>2.0000999999999998</c:v>
                </c:pt>
                <c:pt idx="5">
                  <c:v>2.5000999999999998</c:v>
                </c:pt>
                <c:pt idx="6">
                  <c:v>3.0000999999999998</c:v>
                </c:pt>
                <c:pt idx="7">
                  <c:v>3.5000999999999998</c:v>
                </c:pt>
                <c:pt idx="8">
                  <c:v>4.0000999999999998</c:v>
                </c:pt>
                <c:pt idx="9">
                  <c:v>4.5000999999999998</c:v>
                </c:pt>
                <c:pt idx="10">
                  <c:v>5.0000999999999998</c:v>
                </c:pt>
                <c:pt idx="11">
                  <c:v>5.5000999999999998</c:v>
                </c:pt>
                <c:pt idx="12">
                  <c:v>6.0000999999999998</c:v>
                </c:pt>
                <c:pt idx="13">
                  <c:v>6.5000999999999998</c:v>
                </c:pt>
                <c:pt idx="14">
                  <c:v>7.0000999999999998</c:v>
                </c:pt>
                <c:pt idx="15">
                  <c:v>7.5000999999999998</c:v>
                </c:pt>
                <c:pt idx="16">
                  <c:v>8.0000999999999998</c:v>
                </c:pt>
                <c:pt idx="17">
                  <c:v>8.5000999999999998</c:v>
                </c:pt>
                <c:pt idx="18">
                  <c:v>9.0000999999999998</c:v>
                </c:pt>
                <c:pt idx="19">
                  <c:v>9.5000999999999998</c:v>
                </c:pt>
                <c:pt idx="20">
                  <c:v>10.0001</c:v>
                </c:pt>
              </c:numCache>
            </c:numRef>
          </c:xVal>
          <c:yVal>
            <c:numRef>
              <c:f>'1DEDAD'!$D$29:$D$49</c:f>
              <c:numCache>
                <c:formatCode>General</c:formatCode>
                <c:ptCount val="21"/>
                <c:pt idx="0">
                  <c:v>0</c:v>
                </c:pt>
                <c:pt idx="1">
                  <c:v>3.5086892451649563E-10</c:v>
                </c:pt>
                <c:pt idx="2">
                  <c:v>2.6969779530965923E-2</c:v>
                </c:pt>
                <c:pt idx="3">
                  <c:v>3.2289276451249891</c:v>
                </c:pt>
                <c:pt idx="4">
                  <c:v>15.096218057168221</c:v>
                </c:pt>
                <c:pt idx="5">
                  <c:v>22.157747723416644</c:v>
                </c:pt>
                <c:pt idx="6">
                  <c:v>21.000329747856892</c:v>
                </c:pt>
                <c:pt idx="7">
                  <c:v>17.198045336879066</c:v>
                </c:pt>
                <c:pt idx="8">
                  <c:v>13.536806986869927</c:v>
                </c:pt>
                <c:pt idx="9">
                  <c:v>10.562679582600618</c:v>
                </c:pt>
                <c:pt idx="10">
                  <c:v>8.2287470724833334</c:v>
                </c:pt>
                <c:pt idx="11">
                  <c:v>6.408843680419972</c:v>
                </c:pt>
                <c:pt idx="12">
                  <c:v>4.991243534910252</c:v>
                </c:pt>
                <c:pt idx="13">
                  <c:v>3.8871875555940441</c:v>
                </c:pt>
                <c:pt idx="14">
                  <c:v>3.027345026541461</c:v>
                </c:pt>
                <c:pt idx="15">
                  <c:v>2.3576987074627236</c:v>
                </c:pt>
                <c:pt idx="16">
                  <c:v>1.8361776024479737</c:v>
                </c:pt>
                <c:pt idx="17">
                  <c:v>1.4300165549052093</c:v>
                </c:pt>
                <c:pt idx="18">
                  <c:v>1.1136980127888807</c:v>
                </c:pt>
                <c:pt idx="19">
                  <c:v>0.86734888446716418</c:v>
                </c:pt>
                <c:pt idx="20">
                  <c:v>0.6754919904193244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E-1A47-A998-CA34FF572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2595224"/>
        <c:axId val="-2082552392"/>
      </c:scatterChart>
      <c:valAx>
        <c:axId val="-20825952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(t)</a:t>
                </a:r>
              </a:p>
            </c:rich>
          </c:tx>
          <c:layout>
            <c:manualLayout>
              <c:xMode val="edge"/>
              <c:yMode val="edge"/>
              <c:x val="0.412540589320678"/>
              <c:y val="0.877549708700809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082552392"/>
        <c:crosses val="autoZero"/>
        <c:crossBetween val="midCat"/>
      </c:valAx>
      <c:valAx>
        <c:axId val="-2082552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Concentration (M/L^3)</a:t>
                </a:r>
              </a:p>
            </c:rich>
          </c:tx>
          <c:layout>
            <c:manualLayout>
              <c:xMode val="edge"/>
              <c:yMode val="edge"/>
              <c:x val="5.9405844862177599E-2"/>
              <c:y val="0.3020403648551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0825952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>
      <c:oddHeader>&amp;A</c:oddHeader>
      <c:oddFooter>Page &amp;P</c:oddFooter>
    </c:headerFooter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'1DIMPADR'!$B$32</c:f>
          <c:strCache>
            <c:ptCount val="1"/>
            <c:pt idx="0">
              <c:v>Concentration history at x=5 (meters) downgradient of source</c:v>
            </c:pt>
          </c:strCache>
        </c:strRef>
      </c:tx>
      <c:layout>
        <c:manualLayout>
          <c:xMode val="edge"/>
          <c:yMode val="edge"/>
          <c:x val="0.12299499327290001"/>
          <c:y val="4.080376316596789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1608769492"/>
          <c:y val="0.149087585642704"/>
          <c:w val="0.74442907871810104"/>
          <c:h val="0.69866653032007398"/>
        </c:manualLayout>
      </c:layout>
      <c:scatterChart>
        <c:scatterStyle val="lineMarker"/>
        <c:varyColors val="0"/>
        <c:ser>
          <c:idx val="0"/>
          <c:order val="0"/>
          <c:tx>
            <c:strRef>
              <c:f>'1DIMPADR'!$E$35</c:f>
              <c:strCache>
                <c:ptCount val="1"/>
                <c:pt idx="0">
                  <c:v>C(x,t) (mg/m^3)</c:v>
                </c:pt>
              </c:strCache>
            </c:strRef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'1DIMPADR'!$C$36:$C$55</c:f>
              <c:numCache>
                <c:formatCode>General</c:formatCode>
                <c:ptCount val="20"/>
                <c:pt idx="0">
                  <c:v>1E-4</c:v>
                </c:pt>
                <c:pt idx="1">
                  <c:v>0.50009999999999999</c:v>
                </c:pt>
                <c:pt idx="2">
                  <c:v>1.0001</c:v>
                </c:pt>
                <c:pt idx="3">
                  <c:v>1.5001</c:v>
                </c:pt>
                <c:pt idx="4">
                  <c:v>2.0000999999999998</c:v>
                </c:pt>
                <c:pt idx="5">
                  <c:v>2.5000999999999998</c:v>
                </c:pt>
                <c:pt idx="6">
                  <c:v>3.0000999999999998</c:v>
                </c:pt>
                <c:pt idx="7">
                  <c:v>3.5000999999999998</c:v>
                </c:pt>
                <c:pt idx="8">
                  <c:v>4.0000999999999998</c:v>
                </c:pt>
                <c:pt idx="9">
                  <c:v>4.5000999999999998</c:v>
                </c:pt>
                <c:pt idx="10">
                  <c:v>5.0000999999999998</c:v>
                </c:pt>
                <c:pt idx="11">
                  <c:v>5.5000999999999998</c:v>
                </c:pt>
                <c:pt idx="12">
                  <c:v>6.0000999999999998</c:v>
                </c:pt>
                <c:pt idx="13">
                  <c:v>6.5000999999999998</c:v>
                </c:pt>
                <c:pt idx="14">
                  <c:v>7.0000999999999998</c:v>
                </c:pt>
                <c:pt idx="15">
                  <c:v>7.5000999999999998</c:v>
                </c:pt>
                <c:pt idx="16">
                  <c:v>8.0000999999999998</c:v>
                </c:pt>
                <c:pt idx="17">
                  <c:v>8.5000999999999998</c:v>
                </c:pt>
                <c:pt idx="18">
                  <c:v>9.0000999999999998</c:v>
                </c:pt>
                <c:pt idx="19">
                  <c:v>9.5000999999999998</c:v>
                </c:pt>
              </c:numCache>
            </c:numRef>
          </c:xVal>
          <c:yVal>
            <c:numRef>
              <c:f>'1DIMPADR'!$E$36:$E$55</c:f>
              <c:numCache>
                <c:formatCode>General</c:formatCode>
                <c:ptCount val="20"/>
                <c:pt idx="0">
                  <c:v>0</c:v>
                </c:pt>
                <c:pt idx="1">
                  <c:v>2.6827664764414151E-2</c:v>
                </c:pt>
                <c:pt idx="2">
                  <c:v>5.9493393695737344</c:v>
                </c:pt>
                <c:pt idx="3">
                  <c:v>23.654430874589877</c:v>
                </c:pt>
                <c:pt idx="4">
                  <c:v>35.207632644725109</c:v>
                </c:pt>
                <c:pt idx="5">
                  <c:v>35.681768552096372</c:v>
                </c:pt>
                <c:pt idx="6">
                  <c:v>29.96765223641637</c:v>
                </c:pt>
                <c:pt idx="7">
                  <c:v>22.661018611235519</c:v>
                </c:pt>
                <c:pt idx="8">
                  <c:v>16.072096378777609</c:v>
                </c:pt>
                <c:pt idx="9">
                  <c:v>10.933127587302376</c:v>
                </c:pt>
                <c:pt idx="10">
                  <c:v>7.2282812738145772</c:v>
                </c:pt>
                <c:pt idx="11">
                  <c:v>4.6831882619484961</c:v>
                </c:pt>
                <c:pt idx="12">
                  <c:v>2.9896845176393865</c:v>
                </c:pt>
                <c:pt idx="13">
                  <c:v>1.8875369790474366</c:v>
                </c:pt>
                <c:pt idx="14">
                  <c:v>1.1816344861577091</c:v>
                </c:pt>
                <c:pt idx="15">
                  <c:v>0.7348600866417172</c:v>
                </c:pt>
                <c:pt idx="16">
                  <c:v>0.45463425782337519</c:v>
                </c:pt>
                <c:pt idx="17">
                  <c:v>0.28009703333185332</c:v>
                </c:pt>
                <c:pt idx="18">
                  <c:v>0.17198477395402992</c:v>
                </c:pt>
                <c:pt idx="19">
                  <c:v>0.10531138657454227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22-FC42-A884-B4EC5FA9D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4068920"/>
        <c:axId val="-2134060600"/>
      </c:scatterChart>
      <c:valAx>
        <c:axId val="-2134068920"/>
        <c:scaling>
          <c:orientation val="minMax"/>
        </c:scaling>
        <c:delete val="0"/>
        <c:axPos val="b"/>
        <c:title>
          <c:tx>
            <c:strRef>
              <c:f>'1DIMPADR'!$C$35</c:f>
              <c:strCache>
                <c:ptCount val="1"/>
                <c:pt idx="0">
                  <c:v>Time (t)</c:v>
                </c:pt>
              </c:strCache>
            </c:strRef>
          </c:tx>
          <c:layout>
            <c:manualLayout>
              <c:xMode val="edge"/>
              <c:yMode val="edge"/>
              <c:x val="0.43829749222523601"/>
              <c:y val="0.90768764699867099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4060600"/>
        <c:crosses val="autoZero"/>
        <c:crossBetween val="midCat"/>
      </c:valAx>
      <c:valAx>
        <c:axId val="-2134060600"/>
        <c:scaling>
          <c:orientation val="minMax"/>
        </c:scaling>
        <c:delete val="0"/>
        <c:axPos val="l"/>
        <c:title>
          <c:tx>
            <c:strRef>
              <c:f>'1DIMPADR'!$E$35</c:f>
              <c:strCache>
                <c:ptCount val="1"/>
                <c:pt idx="0">
                  <c:v>C(x,t) (mg/m^3)</c:v>
                </c:pt>
              </c:strCache>
            </c:strRef>
          </c:tx>
          <c:layout>
            <c:manualLayout>
              <c:xMode val="edge"/>
              <c:yMode val="edge"/>
              <c:x val="2.19590198284038E-2"/>
              <c:y val="0.40637079455977099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4068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>
      <c:oddHeader>&amp;A</c:oddHeader>
      <c:oddFooter>Page &amp;P</c:oddFooter>
    </c:headerFooter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'1DCRADR'!$B$30</c:f>
          <c:strCache>
            <c:ptCount val="1"/>
            <c:pt idx="0">
              <c:v>Concentration history at x= 100 (meters) downgradient of source zone 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'1DCRADR'!$J$35</c:f>
              <c:strCache>
                <c:ptCount val="1"/>
                <c:pt idx="0">
                  <c:v>C(x,t) (mg/m3)</c:v>
                </c:pt>
              </c:strCache>
            </c:strRef>
          </c:tx>
          <c:spPr>
            <a:ln w="47625">
              <a:solidFill>
                <a:schemeClr val="tx1"/>
              </a:solidFill>
            </a:ln>
          </c:spPr>
          <c:marker>
            <c:symbol val="circle"/>
            <c:size val="9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'1DCRADR'!$B$36:$B$65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'1DCRADR'!$J$36:$J$65</c:f>
              <c:numCache>
                <c:formatCode>General</c:formatCode>
                <c:ptCount val="30"/>
                <c:pt idx="0">
                  <c:v>3.2853718840066599E-175</c:v>
                </c:pt>
                <c:pt idx="1">
                  <c:v>1.20786499828206E-68</c:v>
                </c:pt>
                <c:pt idx="2">
                  <c:v>1.6296946457803995E-34</c:v>
                </c:pt>
                <c:pt idx="3">
                  <c:v>1.7056474562999613E-18</c:v>
                </c:pt>
                <c:pt idx="4">
                  <c:v>1.0293344306128985E-9</c:v>
                </c:pt>
                <c:pt idx="5">
                  <c:v>1.5208581303391704E-4</c:v>
                </c:pt>
                <c:pt idx="6">
                  <c:v>0.19972473103483415</c:v>
                </c:pt>
                <c:pt idx="7">
                  <c:v>14.296891196002207</c:v>
                </c:pt>
                <c:pt idx="8">
                  <c:v>157.32085254808197</c:v>
                </c:pt>
                <c:pt idx="9">
                  <c:v>519.89761564832759</c:v>
                </c:pt>
                <c:pt idx="10">
                  <c:v>842.43761318740667</c:v>
                </c:pt>
                <c:pt idx="11">
                  <c:v>969.79811123733816</c:v>
                </c:pt>
                <c:pt idx="12">
                  <c:v>996.36458530113748</c:v>
                </c:pt>
                <c:pt idx="13">
                  <c:v>999.70310250046123</c:v>
                </c:pt>
                <c:pt idx="14">
                  <c:v>999.98240806538399</c:v>
                </c:pt>
                <c:pt idx="15">
                  <c:v>999.99920114357928</c:v>
                </c:pt>
                <c:pt idx="16">
                  <c:v>999.99997094696641</c:v>
                </c:pt>
                <c:pt idx="17">
                  <c:v>999.99999912335352</c:v>
                </c:pt>
                <c:pt idx="18">
                  <c:v>999.99999997741941</c:v>
                </c:pt>
                <c:pt idx="19">
                  <c:v>999.99999999949182</c:v>
                </c:pt>
                <c:pt idx="20">
                  <c:v>999.99999999998988</c:v>
                </c:pt>
                <c:pt idx="21">
                  <c:v>999.99999999999977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09-8F48-AB5E-0848BFE2E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496824"/>
        <c:axId val="-2070797912"/>
      </c:scatterChart>
      <c:valAx>
        <c:axId val="-2129496824"/>
        <c:scaling>
          <c:orientation val="minMax"/>
        </c:scaling>
        <c:delete val="0"/>
        <c:axPos val="b"/>
        <c:minorGridlines/>
        <c:title>
          <c:tx>
            <c:strRef>
              <c:f>'1DCRADR'!$B$35</c:f>
              <c:strCache>
                <c:ptCount val="1"/>
                <c:pt idx="0">
                  <c:v>t (years)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-2070797912"/>
        <c:crosses val="autoZero"/>
        <c:crossBetween val="midCat"/>
      </c:valAx>
      <c:valAx>
        <c:axId val="-2070797912"/>
        <c:scaling>
          <c:orientation val="minMax"/>
        </c:scaling>
        <c:delete val="0"/>
        <c:axPos val="l"/>
        <c:majorGridlines/>
        <c:minorGridlines/>
        <c:title>
          <c:tx>
            <c:strRef>
              <c:f>'1DCRADR'!$J$35</c:f>
              <c:strCache>
                <c:ptCount val="1"/>
                <c:pt idx="0">
                  <c:v>C(x,t) (mg/m3)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29496824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'2DFWCRAD-YUAN'!$B$38</c:f>
          <c:strCache>
            <c:ptCount val="1"/>
            <c:pt idx="0">
              <c:v>Concentation History for Observation Location at 100 (meters) Downgradient of Source; Offset 0 (meters) from plume centerline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'2DFWCRAD-YUAN'!$P$42</c:f>
              <c:strCache>
                <c:ptCount val="1"/>
                <c:pt idx="0">
                  <c:v>Concentration (mg/L) </c:v>
                </c:pt>
              </c:strCache>
            </c:strRef>
          </c:tx>
          <c:spPr>
            <a:ln w="47625">
              <a:solidFill>
                <a:schemeClr val="tx1"/>
              </a:solidFill>
            </a:ln>
          </c:spPr>
          <c:marker>
            <c:symbol val="circle"/>
            <c:size val="9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'2DFWCRAD-YUAN'!$C$43:$C$72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'2DFWCRAD-YUAN'!$P$43:$P$72</c:f>
              <c:numCache>
                <c:formatCode>General</c:formatCode>
                <c:ptCount val="30"/>
                <c:pt idx="0">
                  <c:v>5.1331380343199412E-88</c:v>
                </c:pt>
                <c:pt idx="1">
                  <c:v>8.4052137535877677E-35</c:v>
                </c:pt>
                <c:pt idx="2">
                  <c:v>9.0394363613881145E-18</c:v>
                </c:pt>
                <c:pt idx="3">
                  <c:v>8.9141219823102722E-10</c:v>
                </c:pt>
                <c:pt idx="4">
                  <c:v>2.1721895580473091E-5</c:v>
                </c:pt>
                <c:pt idx="5">
                  <c:v>8.4903059852218105E-3</c:v>
                </c:pt>
                <c:pt idx="6">
                  <c:v>0.32049436207532378</c:v>
                </c:pt>
                <c:pt idx="7">
                  <c:v>2.893955006070303</c:v>
                </c:pt>
                <c:pt idx="8">
                  <c:v>10.477146263681094</c:v>
                </c:pt>
                <c:pt idx="9">
                  <c:v>21.05819019226502</c:v>
                </c:pt>
                <c:pt idx="10">
                  <c:v>29.363326441824618</c:v>
                </c:pt>
                <c:pt idx="11">
                  <c:v>33.26734838613406</c:v>
                </c:pt>
                <c:pt idx="12">
                  <c:v>34.052277037081971</c:v>
                </c:pt>
                <c:pt idx="13">
                  <c:v>33.476733858088039</c:v>
                </c:pt>
                <c:pt idx="14">
                  <c:v>32.514966096169616</c:v>
                </c:pt>
                <c:pt idx="15">
                  <c:v>31.521498960901575</c:v>
                </c:pt>
                <c:pt idx="16">
                  <c:v>30.588347606867242</c:v>
                </c:pt>
                <c:pt idx="17">
                  <c:v>29.728261479615004</c:v>
                </c:pt>
                <c:pt idx="18">
                  <c:v>28.935931023997657</c:v>
                </c:pt>
                <c:pt idx="19">
                  <c:v>28.20359800284875</c:v>
                </c:pt>
                <c:pt idx="20">
                  <c:v>27.524170835539749</c:v>
                </c:pt>
                <c:pt idx="21">
                  <c:v>26.891589769372533</c:v>
                </c:pt>
                <c:pt idx="22">
                  <c:v>26.300710252542242</c:v>
                </c:pt>
                <c:pt idx="23">
                  <c:v>25.747143399217602</c:v>
                </c:pt>
                <c:pt idx="24">
                  <c:v>25.227120629899424</c:v>
                </c:pt>
                <c:pt idx="25">
                  <c:v>24.737385544865806</c:v>
                </c:pt>
                <c:pt idx="26">
                  <c:v>24.275107796747971</c:v>
                </c:pt>
                <c:pt idx="27">
                  <c:v>23.837814003919284</c:v>
                </c:pt>
                <c:pt idx="28">
                  <c:v>23.423331877512947</c:v>
                </c:pt>
                <c:pt idx="29">
                  <c:v>23.029744678024343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68-0943-9595-3F1C46513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3436760"/>
        <c:axId val="-2083431256"/>
      </c:scatterChart>
      <c:valAx>
        <c:axId val="-2083436760"/>
        <c:scaling>
          <c:orientation val="minMax"/>
        </c:scaling>
        <c:delete val="0"/>
        <c:axPos val="b"/>
        <c:title>
          <c:tx>
            <c:strRef>
              <c:f>'2DFWCRAD-YUAN'!$C$42</c:f>
              <c:strCache>
                <c:ptCount val="1"/>
                <c:pt idx="0">
                  <c:v>Elapsed Time (years)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-2083431256"/>
        <c:crosses val="autoZero"/>
        <c:crossBetween val="midCat"/>
      </c:valAx>
      <c:valAx>
        <c:axId val="-2083431256"/>
        <c:scaling>
          <c:orientation val="minMax"/>
        </c:scaling>
        <c:delete val="0"/>
        <c:axPos val="l"/>
        <c:majorGridlines/>
        <c:title>
          <c:tx>
            <c:strRef>
              <c:f>'2DFWCRAD-YUAN'!$P$42</c:f>
              <c:strCache>
                <c:ptCount val="1"/>
                <c:pt idx="0">
                  <c:v>Concentration (mg/L) 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83436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'2DFWCRAD-OB'!$B$38</c:f>
          <c:strCache>
            <c:ptCount val="1"/>
            <c:pt idx="0">
              <c:v>Concentation History for Observation Location at 100 (meters) Downgradient of Source; Offset 12 (meters) from plume centerline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434492929186499E-2"/>
          <c:y val="0.14408901251738501"/>
          <c:w val="0.88776617596713503"/>
          <c:h val="0.718646413982675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'2DFWCRAD-OB'!$L$42</c:f>
              <c:strCache>
                <c:ptCount val="1"/>
                <c:pt idx="0">
                  <c:v>C(x,y,t) (mg/m3)</c:v>
                </c:pt>
              </c:strCache>
            </c:strRef>
          </c:tx>
          <c:spPr>
            <a:ln w="47625">
              <a:solidFill>
                <a:schemeClr val="tx1"/>
              </a:solidFill>
            </a:ln>
          </c:spPr>
          <c:marker>
            <c:symbol val="circle"/>
            <c:size val="9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'2DFWCRAD-OB'!$A$43:$A$72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'2DFWCRAD-OB'!$L$43:$L$72</c:f>
              <c:numCache>
                <c:formatCode>General</c:formatCode>
                <c:ptCount val="30"/>
                <c:pt idx="0">
                  <c:v>0</c:v>
                </c:pt>
                <c:pt idx="1">
                  <c:v>6.2761762391394354E-177</c:v>
                </c:pt>
                <c:pt idx="2">
                  <c:v>2.4463918827157461E-50</c:v>
                </c:pt>
                <c:pt idx="3">
                  <c:v>3.481102278012691E-15</c:v>
                </c:pt>
                <c:pt idx="4">
                  <c:v>8.1489024928734066E-3</c:v>
                </c:pt>
                <c:pt idx="5">
                  <c:v>29.345234560035514</c:v>
                </c:pt>
                <c:pt idx="6">
                  <c:v>76.112400445016078</c:v>
                </c:pt>
                <c:pt idx="7">
                  <c:v>92.280889681373466</c:v>
                </c:pt>
                <c:pt idx="8">
                  <c:v>106.63545479032558</c:v>
                </c:pt>
                <c:pt idx="9">
                  <c:v>119.36923844268537</c:v>
                </c:pt>
                <c:pt idx="10">
                  <c:v>130.5960550212979</c:v>
                </c:pt>
                <c:pt idx="11">
                  <c:v>140.45552591405553</c:v>
                </c:pt>
                <c:pt idx="12">
                  <c:v>149.09172611015225</c:v>
                </c:pt>
                <c:pt idx="13">
                  <c:v>156.64270759783489</c:v>
                </c:pt>
                <c:pt idx="14">
                  <c:v>163.23570616076699</c:v>
                </c:pt>
                <c:pt idx="15">
                  <c:v>168.98537902307663</c:v>
                </c:pt>
                <c:pt idx="16">
                  <c:v>173.99364640406179</c:v>
                </c:pt>
                <c:pt idx="17">
                  <c:v>178.35034731082467</c:v>
                </c:pt>
                <c:pt idx="18">
                  <c:v>182.13426866062133</c:v>
                </c:pt>
                <c:pt idx="19">
                  <c:v>185.41430353124144</c:v>
                </c:pt>
                <c:pt idx="20">
                  <c:v>188.25060693253636</c:v>
                </c:pt>
                <c:pt idx="21">
                  <c:v>190.69568215228617</c:v>
                </c:pt>
                <c:pt idx="22">
                  <c:v>192.79536760465982</c:v>
                </c:pt>
                <c:pt idx="23">
                  <c:v>194.58971474891473</c:v>
                </c:pt>
                <c:pt idx="24">
                  <c:v>196.11375878720222</c:v>
                </c:pt>
                <c:pt idx="25">
                  <c:v>197.39818946452996</c:v>
                </c:pt>
                <c:pt idx="26">
                  <c:v>198.46993173346806</c:v>
                </c:pt>
                <c:pt idx="27">
                  <c:v>199.35264670556566</c:v>
                </c:pt>
                <c:pt idx="28">
                  <c:v>200.06716301422193</c:v>
                </c:pt>
                <c:pt idx="29">
                  <c:v>200.63184794192259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32-A24B-8522-7A434910D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3412456"/>
        <c:axId val="-2083409112"/>
      </c:scatterChart>
      <c:valAx>
        <c:axId val="-2083412456"/>
        <c:scaling>
          <c:orientation val="minMax"/>
        </c:scaling>
        <c:delete val="0"/>
        <c:axPos val="b"/>
        <c:title>
          <c:tx>
            <c:strRef>
              <c:f>'2DFWCRAD-OB'!$A$42</c:f>
              <c:strCache>
                <c:ptCount val="1"/>
                <c:pt idx="0">
                  <c:v>t (years)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-2083409112"/>
        <c:crosses val="autoZero"/>
        <c:crossBetween val="midCat"/>
      </c:valAx>
      <c:valAx>
        <c:axId val="-2083409112"/>
        <c:scaling>
          <c:orientation val="minMax"/>
        </c:scaling>
        <c:delete val="0"/>
        <c:axPos val="l"/>
        <c:majorGridlines/>
        <c:title>
          <c:tx>
            <c:strRef>
              <c:f>'2DFWCRAD-OB'!$L$42</c:f>
              <c:strCache>
                <c:ptCount val="1"/>
                <c:pt idx="0">
                  <c:v>C(x,y,t) (mg/m3)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83412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'2DCLSAD-HUNT'!$D$43</c:f>
              <c:strCache>
                <c:ptCount val="1"/>
                <c:pt idx="0">
                  <c:v>(mg/L)</c:v>
                </c:pt>
              </c:strCache>
            </c:strRef>
          </c:tx>
          <c:spPr>
            <a:ln w="47625">
              <a:solidFill>
                <a:schemeClr val="tx1"/>
              </a:solidFill>
            </a:ln>
          </c:spPr>
          <c:marker>
            <c:symbol val="none"/>
          </c:marker>
          <c:xVal>
            <c:strRef>
              <c:f>'2DCLSAD-HUNT'!$C$44:$C$59</c:f>
              <c:strCache>
                <c:ptCount val="16"/>
                <c:pt idx="0">
                  <c:v>t-coordinate</c:v>
                </c:pt>
                <c:pt idx="1">
                  <c:v>0.0001</c:v>
                </c:pt>
                <c:pt idx="2">
                  <c:v>0.001</c:v>
                </c:pt>
                <c:pt idx="3">
                  <c:v>0.01</c:v>
                </c:pt>
                <c:pt idx="4">
                  <c:v>0.1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8</c:v>
                </c:pt>
                <c:pt idx="9">
                  <c:v>16</c:v>
                </c:pt>
                <c:pt idx="10">
                  <c:v>32</c:v>
                </c:pt>
                <c:pt idx="11">
                  <c:v>64</c:v>
                </c:pt>
                <c:pt idx="12">
                  <c:v>128</c:v>
                </c:pt>
                <c:pt idx="13">
                  <c:v>256</c:v>
                </c:pt>
                <c:pt idx="14">
                  <c:v>512</c:v>
                </c:pt>
                <c:pt idx="15">
                  <c:v>1024</c:v>
                </c:pt>
              </c:strCache>
            </c:strRef>
          </c:xVal>
          <c:yVal>
            <c:numRef>
              <c:f>'2DCLSAD-HUNT'!$D$44:$D$59</c:f>
              <c:numCache>
                <c:formatCode>General</c:formatCode>
                <c:ptCount val="16"/>
                <c:pt idx="0">
                  <c:v>0</c:v>
                </c:pt>
                <c:pt idx="1">
                  <c:v>1.4162210646443757E-13</c:v>
                </c:pt>
                <c:pt idx="2">
                  <c:v>6.590605396853356E-3</c:v>
                </c:pt>
                <c:pt idx="3">
                  <c:v>0.27591599337605177</c:v>
                </c:pt>
                <c:pt idx="4">
                  <c:v>0.82386094591890757</c:v>
                </c:pt>
                <c:pt idx="5">
                  <c:v>1.3718059639871558</c:v>
                </c:pt>
                <c:pt idx="6">
                  <c:v>1.4997485610085111</c:v>
                </c:pt>
                <c:pt idx="7">
                  <c:v>1.5897155912616319</c:v>
                </c:pt>
                <c:pt idx="8">
                  <c:v>1.6347961991416073</c:v>
                </c:pt>
                <c:pt idx="9">
                  <c:v>1.6467304366873976</c:v>
                </c:pt>
                <c:pt idx="10">
                  <c:v>1.6477302020798357</c:v>
                </c:pt>
                <c:pt idx="11">
                  <c:v>1.6477302020798357</c:v>
                </c:pt>
                <c:pt idx="12">
                  <c:v>1.6477302020798357</c:v>
                </c:pt>
                <c:pt idx="13">
                  <c:v>1.6477302020798357</c:v>
                </c:pt>
                <c:pt idx="14">
                  <c:v>1.6477302020798357</c:v>
                </c:pt>
                <c:pt idx="15">
                  <c:v>1.6477302020798357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DC-6D41-912D-8612F0A08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3334120"/>
        <c:axId val="-2083331096"/>
      </c:scatterChart>
      <c:valAx>
        <c:axId val="-208333412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83331096"/>
        <c:crosses val="autoZero"/>
        <c:crossBetween val="midCat"/>
      </c:valAx>
      <c:valAx>
        <c:axId val="-2083331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833341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view3D>
      <c:rotX val="76"/>
      <c:hPercent val="100"/>
      <c:rotY val="2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'2DCLSAD-HUNT'!$B$68</c:f>
              <c:strCache>
                <c:ptCount val="1"/>
                <c:pt idx="0">
                  <c:v>-1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'2DCLSAD-HUNT'!$B$69:$B$98</c:f>
              <c:numCache>
                <c:formatCode>General</c:formatCode>
                <c:ptCount val="30"/>
                <c:pt idx="0">
                  <c:v>2.4218255185598225E-3</c:v>
                </c:pt>
                <c:pt idx="1">
                  <c:v>3.1498043425257668E-3</c:v>
                </c:pt>
                <c:pt idx="2">
                  <c:v>3.9418561216170971E-3</c:v>
                </c:pt>
                <c:pt idx="3">
                  <c:v>4.7427060095107804E-3</c:v>
                </c:pt>
                <c:pt idx="4">
                  <c:v>5.4830759559554099E-3</c:v>
                </c:pt>
                <c:pt idx="5">
                  <c:v>6.0899501949772759E-3</c:v>
                </c:pt>
                <c:pt idx="6">
                  <c:v>6.4994366118199297E-3</c:v>
                </c:pt>
                <c:pt idx="7">
                  <c:v>6.6687691512144244E-3</c:v>
                </c:pt>
                <c:pt idx="8">
                  <c:v>6.5840296868660414E-3</c:v>
                </c:pt>
                <c:pt idx="9">
                  <c:v>6.2615727303888509E-3</c:v>
                </c:pt>
                <c:pt idx="10">
                  <c:v>5.743230413789868E-3</c:v>
                </c:pt>
                <c:pt idx="11">
                  <c:v>5.087193724077922E-3</c:v>
                </c:pt>
                <c:pt idx="12">
                  <c:v>4.3573383849544924E-3</c:v>
                </c:pt>
                <c:pt idx="13">
                  <c:v>3.6135870261085868E-3</c:v>
                </c:pt>
                <c:pt idx="14">
                  <c:v>3.3154000050871391E-3</c:v>
                </c:pt>
                <c:pt idx="15">
                  <c:v>2.5506947418129007E-3</c:v>
                </c:pt>
                <c:pt idx="16">
                  <c:v>1.9001271215195704E-3</c:v>
                </c:pt>
                <c:pt idx="17">
                  <c:v>1.3712839948478682E-3</c:v>
                </c:pt>
                <c:pt idx="18">
                  <c:v>9.5911682209374322E-4</c:v>
                </c:pt>
                <c:pt idx="19">
                  <c:v>6.5036681484074738E-4</c:v>
                </c:pt>
                <c:pt idx="20">
                  <c:v>4.2766239505415116E-4</c:v>
                </c:pt>
                <c:pt idx="21">
                  <c:v>2.7276401760091817E-4</c:v>
                </c:pt>
                <c:pt idx="22">
                  <c:v>1.687651254755434E-4</c:v>
                </c:pt>
                <c:pt idx="23">
                  <c:v>1.0130639363374625E-4</c:v>
                </c:pt>
                <c:pt idx="24">
                  <c:v>5.9004391461890857E-5</c:v>
                </c:pt>
                <c:pt idx="25">
                  <c:v>3.3346375088622355E-5</c:v>
                </c:pt>
                <c:pt idx="26">
                  <c:v>1.8287073081273996E-5</c:v>
                </c:pt>
                <c:pt idx="27">
                  <c:v>9.7314683833744073E-6</c:v>
                </c:pt>
                <c:pt idx="28">
                  <c:v>5.0251948973337202E-6</c:v>
                </c:pt>
                <c:pt idx="29">
                  <c:v>2.5180551215537209E-6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9F40-A6E0-86D6B15D9276}"/>
            </c:ext>
          </c:extLst>
        </c:ser>
        <c:ser>
          <c:idx val="1"/>
          <c:order val="1"/>
          <c:tx>
            <c:strRef>
              <c:f>'2DCLSAD-HUNT'!$C$68</c:f>
              <c:strCache>
                <c:ptCount val="1"/>
                <c:pt idx="0">
                  <c:v>-0.8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'2DCLSAD-HUNT'!$C$69:$C$98</c:f>
              <c:numCache>
                <c:formatCode>General</c:formatCode>
                <c:ptCount val="30"/>
                <c:pt idx="0">
                  <c:v>7.9095405235118758E-3</c:v>
                </c:pt>
                <c:pt idx="1">
                  <c:v>1.0449462693475173E-2</c:v>
                </c:pt>
                <c:pt idx="2">
                  <c:v>1.323528907005884E-2</c:v>
                </c:pt>
                <c:pt idx="3">
                  <c:v>1.6045516946458328E-2</c:v>
                </c:pt>
                <c:pt idx="4">
                  <c:v>1.8598558345379088E-2</c:v>
                </c:pt>
                <c:pt idx="5">
                  <c:v>2.0603596725688317E-2</c:v>
                </c:pt>
                <c:pt idx="6">
                  <c:v>2.1822867815962665E-2</c:v>
                </c:pt>
                <c:pt idx="7">
                  <c:v>2.2123861284043918E-2</c:v>
                </c:pt>
                <c:pt idx="8">
                  <c:v>2.1503351447132002E-2</c:v>
                </c:pt>
                <c:pt idx="9">
                  <c:v>2.007770166724767E-2</c:v>
                </c:pt>
                <c:pt idx="10">
                  <c:v>1.804732319552696E-2</c:v>
                </c:pt>
                <c:pt idx="11">
                  <c:v>1.5650236804033761E-2</c:v>
                </c:pt>
                <c:pt idx="12">
                  <c:v>1.3118927842975097E-2</c:v>
                </c:pt>
                <c:pt idx="13">
                  <c:v>1.0649282029567643E-2</c:v>
                </c:pt>
                <c:pt idx="14">
                  <c:v>8.384314987895599E-3</c:v>
                </c:pt>
                <c:pt idx="15">
                  <c:v>6.4110174923785969E-3</c:v>
                </c:pt>
                <c:pt idx="16">
                  <c:v>4.7664754954719075E-3</c:v>
                </c:pt>
                <c:pt idx="17">
                  <c:v>3.9074039110964884E-3</c:v>
                </c:pt>
                <c:pt idx="18">
                  <c:v>2.701126252291347E-3</c:v>
                </c:pt>
                <c:pt idx="19">
                  <c:v>1.812156886223996E-3</c:v>
                </c:pt>
                <c:pt idx="20">
                  <c:v>1.1801165131142335E-3</c:v>
                </c:pt>
                <c:pt idx="21">
                  <c:v>7.4608285905219853E-4</c:v>
                </c:pt>
                <c:pt idx="22">
                  <c:v>4.5794686539199524E-4</c:v>
                </c:pt>
                <c:pt idx="23">
                  <c:v>2.7291351048606532E-4</c:v>
                </c:pt>
                <c:pt idx="24">
                  <c:v>1.5791395039137715E-4</c:v>
                </c:pt>
                <c:pt idx="25">
                  <c:v>8.871476583293089E-5</c:v>
                </c:pt>
                <c:pt idx="26">
                  <c:v>4.8388156892972123E-5</c:v>
                </c:pt>
                <c:pt idx="27">
                  <c:v>2.5623186240581596E-5</c:v>
                </c:pt>
                <c:pt idx="28">
                  <c:v>1.3172190351396975E-5</c:v>
                </c:pt>
                <c:pt idx="29">
                  <c:v>6.5734221927984375E-6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9F40-A6E0-86D6B15D9276}"/>
            </c:ext>
          </c:extLst>
        </c:ser>
        <c:ser>
          <c:idx val="2"/>
          <c:order val="2"/>
          <c:tx>
            <c:strRef>
              <c:f>'2DCLSAD-HUNT'!$D$68</c:f>
              <c:strCache>
                <c:ptCount val="1"/>
                <c:pt idx="0">
                  <c:v>-0.6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'2DCLSAD-HUNT'!$D$69:$D$98</c:f>
              <c:numCache>
                <c:formatCode>General</c:formatCode>
                <c:ptCount val="30"/>
                <c:pt idx="0">
                  <c:v>2.2386680183613724E-2</c:v>
                </c:pt>
                <c:pt idx="1">
                  <c:v>3.0343642648279042E-2</c:v>
                </c:pt>
                <c:pt idx="2">
                  <c:v>3.8482996758147252E-2</c:v>
                </c:pt>
                <c:pt idx="3">
                  <c:v>4.7347156038178913E-2</c:v>
                </c:pt>
                <c:pt idx="4">
                  <c:v>5.5163900823176751E-2</c:v>
                </c:pt>
                <c:pt idx="5">
                  <c:v>6.0797645202802952E-2</c:v>
                </c:pt>
                <c:pt idx="6">
                  <c:v>6.3453250042312115E-2</c:v>
                </c:pt>
                <c:pt idx="7">
                  <c:v>6.4245520036616155E-2</c:v>
                </c:pt>
                <c:pt idx="8">
                  <c:v>6.0863106404288179E-2</c:v>
                </c:pt>
                <c:pt idx="9">
                  <c:v>5.5231264834640206E-2</c:v>
                </c:pt>
                <c:pt idx="10">
                  <c:v>4.8200157900845579E-2</c:v>
                </c:pt>
                <c:pt idx="11">
                  <c:v>4.0591812124996476E-2</c:v>
                </c:pt>
                <c:pt idx="12">
                  <c:v>3.3081765296513931E-2</c:v>
                </c:pt>
                <c:pt idx="13">
                  <c:v>2.6150877955112183E-2</c:v>
                </c:pt>
                <c:pt idx="14">
                  <c:v>2.0086717933478913E-2</c:v>
                </c:pt>
                <c:pt idx="15">
                  <c:v>1.5012986648752738E-2</c:v>
                </c:pt>
                <c:pt idx="16">
                  <c:v>1.0930515032910548E-2</c:v>
                </c:pt>
                <c:pt idx="17">
                  <c:v>7.75904627585371E-3</c:v>
                </c:pt>
                <c:pt idx="18">
                  <c:v>5.373640919954804E-3</c:v>
                </c:pt>
                <c:pt idx="19">
                  <c:v>4.0840753946148785E-3</c:v>
                </c:pt>
                <c:pt idx="20">
                  <c:v>2.633138969896968E-3</c:v>
                </c:pt>
                <c:pt idx="21">
                  <c:v>1.6499830333551329E-3</c:v>
                </c:pt>
                <c:pt idx="22">
                  <c:v>1.0048054823257912E-3</c:v>
                </c:pt>
                <c:pt idx="23">
                  <c:v>5.9462480680759521E-4</c:v>
                </c:pt>
                <c:pt idx="24">
                  <c:v>3.4191535797146202E-4</c:v>
                </c:pt>
                <c:pt idx="25">
                  <c:v>1.9101251908742778E-4</c:v>
                </c:pt>
                <c:pt idx="26">
                  <c:v>1.0366321143804725E-4</c:v>
                </c:pt>
                <c:pt idx="27">
                  <c:v>5.4646104044736305E-5</c:v>
                </c:pt>
                <c:pt idx="28">
                  <c:v>2.7978123423960229E-5</c:v>
                </c:pt>
                <c:pt idx="29">
                  <c:v>1.3910971083399191E-5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9F40-A6E0-86D6B15D9276}"/>
            </c:ext>
          </c:extLst>
        </c:ser>
        <c:ser>
          <c:idx val="3"/>
          <c:order val="3"/>
          <c:tx>
            <c:strRef>
              <c:f>'2DCLSAD-HUNT'!$E$68</c:f>
              <c:strCache>
                <c:ptCount val="1"/>
                <c:pt idx="0">
                  <c:v>-0.4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'2DCLSAD-HUNT'!$E$69:$E$98</c:f>
              <c:numCache>
                <c:formatCode>General</c:formatCode>
                <c:ptCount val="30"/>
                <c:pt idx="0">
                  <c:v>5.3679435292550849E-2</c:v>
                </c:pt>
                <c:pt idx="1">
                  <c:v>7.6457528721557921E-2</c:v>
                </c:pt>
                <c:pt idx="2">
                  <c:v>0.10323437148469015</c:v>
                </c:pt>
                <c:pt idx="3">
                  <c:v>0.1307591557329679</c:v>
                </c:pt>
                <c:pt idx="4">
                  <c:v>0.15396534643191517</c:v>
                </c:pt>
                <c:pt idx="5">
                  <c:v>0.16790829122210346</c:v>
                </c:pt>
                <c:pt idx="6">
                  <c:v>0.17022445490419541</c:v>
                </c:pt>
                <c:pt idx="7">
                  <c:v>0.16188696202004199</c:v>
                </c:pt>
                <c:pt idx="8">
                  <c:v>0.14594527597874873</c:v>
                </c:pt>
                <c:pt idx="9">
                  <c:v>0.12586985619307547</c:v>
                </c:pt>
                <c:pt idx="10">
                  <c:v>0.10462581626253949</c:v>
                </c:pt>
                <c:pt idx="11">
                  <c:v>8.6364927439447098E-2</c:v>
                </c:pt>
                <c:pt idx="12">
                  <c:v>6.7979177743727678E-2</c:v>
                </c:pt>
                <c:pt idx="13">
                  <c:v>5.2122786718246585E-2</c:v>
                </c:pt>
                <c:pt idx="14">
                  <c:v>3.8982270715768173E-2</c:v>
                </c:pt>
                <c:pt idx="15">
                  <c:v>2.8462967001002315E-2</c:v>
                </c:pt>
                <c:pt idx="16">
                  <c:v>2.0301839626725569E-2</c:v>
                </c:pt>
                <c:pt idx="17">
                  <c:v>1.4152318055964435E-2</c:v>
                </c:pt>
                <c:pt idx="18">
                  <c:v>9.6449963860495824E-3</c:v>
                </c:pt>
                <c:pt idx="19">
                  <c:v>6.4278701131493957E-3</c:v>
                </c:pt>
                <c:pt idx="20">
                  <c:v>4.7135340812280201E-3</c:v>
                </c:pt>
                <c:pt idx="21">
                  <c:v>2.9303650093689096E-3</c:v>
                </c:pt>
                <c:pt idx="22">
                  <c:v>1.7722947738704456E-3</c:v>
                </c:pt>
                <c:pt idx="23">
                  <c:v>1.0425154852419097E-3</c:v>
                </c:pt>
                <c:pt idx="24">
                  <c:v>5.9629458025289546E-4</c:v>
                </c:pt>
                <c:pt idx="25">
                  <c:v>3.315715250880289E-4</c:v>
                </c:pt>
                <c:pt idx="26">
                  <c:v>1.79202736020493E-4</c:v>
                </c:pt>
                <c:pt idx="27">
                  <c:v>9.4120173333793662E-5</c:v>
                </c:pt>
                <c:pt idx="28">
                  <c:v>4.8030529168570249E-5</c:v>
                </c:pt>
                <c:pt idx="29">
                  <c:v>2.3811149479118641E-5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45-9F40-A6E0-86D6B15D9276}"/>
            </c:ext>
          </c:extLst>
        </c:ser>
        <c:ser>
          <c:idx val="4"/>
          <c:order val="4"/>
          <c:tx>
            <c:strRef>
              <c:f>'2DCLSAD-HUNT'!$F$68</c:f>
              <c:strCache>
                <c:ptCount val="1"/>
                <c:pt idx="0">
                  <c:v>-0.2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'2DCLSAD-HUNT'!$F$69:$F$98</c:f>
              <c:numCache>
                <c:formatCode>General</c:formatCode>
                <c:ptCount val="30"/>
                <c:pt idx="0">
                  <c:v>0.10607508963593892</c:v>
                </c:pt>
                <c:pt idx="1">
                  <c:v>0.16456511124579243</c:v>
                </c:pt>
                <c:pt idx="2">
                  <c:v>0.24515217600961542</c:v>
                </c:pt>
                <c:pt idx="3">
                  <c:v>0.33988366961912425</c:v>
                </c:pt>
                <c:pt idx="4">
                  <c:v>0.41632907440389738</c:v>
                </c:pt>
                <c:pt idx="5">
                  <c:v>0.4364713312329595</c:v>
                </c:pt>
                <c:pt idx="6">
                  <c:v>0.40426680293783102</c:v>
                </c:pt>
                <c:pt idx="7">
                  <c:v>0.34846717400368971</c:v>
                </c:pt>
                <c:pt idx="8">
                  <c:v>0.28841791836698949</c:v>
                </c:pt>
                <c:pt idx="9">
                  <c:v>0.23223831717282548</c:v>
                </c:pt>
                <c:pt idx="10">
                  <c:v>0.18275655641878485</c:v>
                </c:pt>
                <c:pt idx="11">
                  <c:v>0.14078499270551031</c:v>
                </c:pt>
                <c:pt idx="12">
                  <c:v>0.10883471711530616</c:v>
                </c:pt>
                <c:pt idx="13">
                  <c:v>8.1155464371060096E-2</c:v>
                </c:pt>
                <c:pt idx="14">
                  <c:v>5.9329215378991731E-2</c:v>
                </c:pt>
                <c:pt idx="15">
                  <c:v>4.2508840294753512E-2</c:v>
                </c:pt>
                <c:pt idx="16">
                  <c:v>2.9842332190660861E-2</c:v>
                </c:pt>
                <c:pt idx="17">
                  <c:v>2.052300642346511E-2</c:v>
                </c:pt>
                <c:pt idx="18">
                  <c:v>1.3824236650532947E-2</c:v>
                </c:pt>
                <c:pt idx="19">
                  <c:v>9.1198595048425195E-3</c:v>
                </c:pt>
                <c:pt idx="20">
                  <c:v>6.7139505925729731E-3</c:v>
                </c:pt>
                <c:pt idx="21">
                  <c:v>4.1508376084226778E-3</c:v>
                </c:pt>
                <c:pt idx="22">
                  <c:v>2.4984856537976761E-3</c:v>
                </c:pt>
                <c:pt idx="23">
                  <c:v>1.4636388936262832E-3</c:v>
                </c:pt>
                <c:pt idx="24">
                  <c:v>8.3417713831768301E-4</c:v>
                </c:pt>
                <c:pt idx="25">
                  <c:v>4.6239969911025087E-4</c:v>
                </c:pt>
                <c:pt idx="26">
                  <c:v>2.4922615028811124E-4</c:v>
                </c:pt>
                <c:pt idx="27">
                  <c:v>1.3058123673670736E-4</c:v>
                </c:pt>
                <c:pt idx="28">
                  <c:v>6.6494264291480862E-5</c:v>
                </c:pt>
                <c:pt idx="29">
                  <c:v>3.2901709955755293E-5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45-9F40-A6E0-86D6B15D9276}"/>
            </c:ext>
          </c:extLst>
        </c:ser>
        <c:ser>
          <c:idx val="5"/>
          <c:order val="5"/>
          <c:tx>
            <c:strRef>
              <c:f>'2DCLSAD-HUNT'!$G$68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'2DCLSAD-HUNT'!$G$69:$G$98</c:f>
              <c:numCache>
                <c:formatCode>General</c:formatCode>
                <c:ptCount val="30"/>
                <c:pt idx="0">
                  <c:v>0.14101227233467192</c:v>
                </c:pt>
                <c:pt idx="1">
                  <c:v>0.23652449485781196</c:v>
                </c:pt>
                <c:pt idx="2">
                  <c:v>0.40567527732880809</c:v>
                </c:pt>
                <c:pt idx="3">
                  <c:v>0.75029693712353707</c:v>
                </c:pt>
                <c:pt idx="4">
                  <c:v>4.7796629956557064</c:v>
                </c:pt>
                <c:pt idx="5">
                  <c:v>0.96384327427293226</c:v>
                </c:pt>
                <c:pt idx="6">
                  <c:v>0.6690795638540592</c:v>
                </c:pt>
                <c:pt idx="7">
                  <c:v>0.50088215275433468</c:v>
                </c:pt>
                <c:pt idx="8">
                  <c:v>0.38343024328890168</c:v>
                </c:pt>
                <c:pt idx="9">
                  <c:v>0.29448091792412529</c:v>
                </c:pt>
                <c:pt idx="10">
                  <c:v>0.22471810732590491</c:v>
                </c:pt>
                <c:pt idx="11">
                  <c:v>0.16942223007785229</c:v>
                </c:pt>
                <c:pt idx="12">
                  <c:v>0.12593156485847823</c:v>
                </c:pt>
                <c:pt idx="13">
                  <c:v>9.4679071368062584E-2</c:v>
                </c:pt>
                <c:pt idx="14">
                  <c:v>6.8570669221941188E-2</c:v>
                </c:pt>
                <c:pt idx="15">
                  <c:v>4.8763779434956307E-2</c:v>
                </c:pt>
                <c:pt idx="16">
                  <c:v>3.4024482137157461E-2</c:v>
                </c:pt>
                <c:pt idx="17">
                  <c:v>2.3279976033479359E-2</c:v>
                </c:pt>
                <c:pt idx="18">
                  <c:v>1.5613626442194791E-2</c:v>
                </c:pt>
                <c:pt idx="19">
                  <c:v>1.0262121420316296E-2</c:v>
                </c:pt>
                <c:pt idx="20">
                  <c:v>6.6083545397278331E-3</c:v>
                </c:pt>
                <c:pt idx="21">
                  <c:v>4.6647710043950961E-3</c:v>
                </c:pt>
                <c:pt idx="22">
                  <c:v>2.8030143372003691E-3</c:v>
                </c:pt>
                <c:pt idx="23">
                  <c:v>1.6396198563146832E-3</c:v>
                </c:pt>
                <c:pt idx="24">
                  <c:v>9.3328860712920227E-4</c:v>
                </c:pt>
                <c:pt idx="25">
                  <c:v>5.1676875656329825E-4</c:v>
                </c:pt>
                <c:pt idx="26">
                  <c:v>2.782619934236699E-4</c:v>
                </c:pt>
                <c:pt idx="27">
                  <c:v>1.4567114630746196E-4</c:v>
                </c:pt>
                <c:pt idx="28">
                  <c:v>7.412291717888844E-5</c:v>
                </c:pt>
                <c:pt idx="29">
                  <c:v>3.6652114692857358E-5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45-9F40-A6E0-86D6B15D9276}"/>
            </c:ext>
          </c:extLst>
        </c:ser>
        <c:ser>
          <c:idx val="6"/>
          <c:order val="6"/>
          <c:tx>
            <c:strRef>
              <c:f>'2DCLSAD-HUNT'!$H$68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'2DCLSAD-HUNT'!$H$69:$H$98</c:f>
              <c:numCache>
                <c:formatCode>General</c:formatCode>
                <c:ptCount val="30"/>
                <c:pt idx="0">
                  <c:v>0.10607508963593894</c:v>
                </c:pt>
                <c:pt idx="1">
                  <c:v>0.16456511124579243</c:v>
                </c:pt>
                <c:pt idx="2">
                  <c:v>0.24515217600961547</c:v>
                </c:pt>
                <c:pt idx="3">
                  <c:v>0.33988366961912414</c:v>
                </c:pt>
                <c:pt idx="4">
                  <c:v>0.41632907440389738</c:v>
                </c:pt>
                <c:pt idx="5">
                  <c:v>0.43647133123295984</c:v>
                </c:pt>
                <c:pt idx="6">
                  <c:v>0.40426680293783113</c:v>
                </c:pt>
                <c:pt idx="7">
                  <c:v>0.34846717400368998</c:v>
                </c:pt>
                <c:pt idx="8">
                  <c:v>0.28841791836698955</c:v>
                </c:pt>
                <c:pt idx="9">
                  <c:v>0.23223831717282553</c:v>
                </c:pt>
                <c:pt idx="10">
                  <c:v>0.18275655641878499</c:v>
                </c:pt>
                <c:pt idx="11">
                  <c:v>0.14078499270551031</c:v>
                </c:pt>
                <c:pt idx="12">
                  <c:v>0.10883471711530616</c:v>
                </c:pt>
                <c:pt idx="13">
                  <c:v>8.1155464371060096E-2</c:v>
                </c:pt>
                <c:pt idx="14">
                  <c:v>5.9329215378991731E-2</c:v>
                </c:pt>
                <c:pt idx="15">
                  <c:v>4.2508840294753512E-2</c:v>
                </c:pt>
                <c:pt idx="16">
                  <c:v>2.9842332190660861E-2</c:v>
                </c:pt>
                <c:pt idx="17">
                  <c:v>2.052300642346511E-2</c:v>
                </c:pt>
                <c:pt idx="18">
                  <c:v>1.3824236650532947E-2</c:v>
                </c:pt>
                <c:pt idx="19">
                  <c:v>9.1198595048425195E-3</c:v>
                </c:pt>
                <c:pt idx="20">
                  <c:v>6.7139505925729731E-3</c:v>
                </c:pt>
                <c:pt idx="21">
                  <c:v>4.1508376084226778E-3</c:v>
                </c:pt>
                <c:pt idx="22">
                  <c:v>2.4984856537976761E-3</c:v>
                </c:pt>
                <c:pt idx="23">
                  <c:v>1.4636388936262832E-3</c:v>
                </c:pt>
                <c:pt idx="24">
                  <c:v>8.3417713831768301E-4</c:v>
                </c:pt>
                <c:pt idx="25">
                  <c:v>4.6239969911025087E-4</c:v>
                </c:pt>
                <c:pt idx="26">
                  <c:v>2.4922615028811124E-4</c:v>
                </c:pt>
                <c:pt idx="27">
                  <c:v>1.3058123673670736E-4</c:v>
                </c:pt>
                <c:pt idx="28">
                  <c:v>6.6494264291480862E-5</c:v>
                </c:pt>
                <c:pt idx="29">
                  <c:v>3.2901709955755293E-5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45-9F40-A6E0-86D6B15D9276}"/>
            </c:ext>
          </c:extLst>
        </c:ser>
        <c:ser>
          <c:idx val="7"/>
          <c:order val="7"/>
          <c:tx>
            <c:strRef>
              <c:f>'2DCLSAD-HUNT'!$I$68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'2DCLSAD-HUNT'!$I$69:$I$98</c:f>
              <c:numCache>
                <c:formatCode>General</c:formatCode>
                <c:ptCount val="30"/>
                <c:pt idx="0">
                  <c:v>5.3679435292550919E-2</c:v>
                </c:pt>
                <c:pt idx="1">
                  <c:v>7.6457528721557991E-2</c:v>
                </c:pt>
                <c:pt idx="2">
                  <c:v>0.10323437148469021</c:v>
                </c:pt>
                <c:pt idx="3">
                  <c:v>0.13075915573296795</c:v>
                </c:pt>
                <c:pt idx="4">
                  <c:v>0.15396534643191523</c:v>
                </c:pt>
                <c:pt idx="5">
                  <c:v>0.16790829122210346</c:v>
                </c:pt>
                <c:pt idx="6">
                  <c:v>0.1702244549041951</c:v>
                </c:pt>
                <c:pt idx="7">
                  <c:v>0.16188696202004199</c:v>
                </c:pt>
                <c:pt idx="8">
                  <c:v>0.14594527597874873</c:v>
                </c:pt>
                <c:pt idx="9">
                  <c:v>0.12586985619307553</c:v>
                </c:pt>
                <c:pt idx="10">
                  <c:v>0.10462581626253961</c:v>
                </c:pt>
                <c:pt idx="11">
                  <c:v>8.6364927439447098E-2</c:v>
                </c:pt>
                <c:pt idx="12">
                  <c:v>6.7979177743727678E-2</c:v>
                </c:pt>
                <c:pt idx="13">
                  <c:v>5.2122786718246585E-2</c:v>
                </c:pt>
                <c:pt idx="14">
                  <c:v>3.8982270715768173E-2</c:v>
                </c:pt>
                <c:pt idx="15">
                  <c:v>2.8462967001002315E-2</c:v>
                </c:pt>
                <c:pt idx="16">
                  <c:v>2.030183962672559E-2</c:v>
                </c:pt>
                <c:pt idx="17">
                  <c:v>1.4152318055964435E-2</c:v>
                </c:pt>
                <c:pt idx="18">
                  <c:v>9.6449963860495893E-3</c:v>
                </c:pt>
                <c:pt idx="19">
                  <c:v>6.4278701131493957E-3</c:v>
                </c:pt>
                <c:pt idx="20">
                  <c:v>4.7135340812280201E-3</c:v>
                </c:pt>
                <c:pt idx="21">
                  <c:v>2.9303650093689096E-3</c:v>
                </c:pt>
                <c:pt idx="22">
                  <c:v>1.7722947738704456E-3</c:v>
                </c:pt>
                <c:pt idx="23">
                  <c:v>1.0425154852419097E-3</c:v>
                </c:pt>
                <c:pt idx="24">
                  <c:v>5.9629458025289546E-4</c:v>
                </c:pt>
                <c:pt idx="25">
                  <c:v>3.315715250880289E-4</c:v>
                </c:pt>
                <c:pt idx="26">
                  <c:v>1.79202736020493E-4</c:v>
                </c:pt>
                <c:pt idx="27">
                  <c:v>9.4120173333793662E-5</c:v>
                </c:pt>
                <c:pt idx="28">
                  <c:v>4.8030529168570249E-5</c:v>
                </c:pt>
                <c:pt idx="29">
                  <c:v>2.3811149479118641E-5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45-9F40-A6E0-86D6B15D9276}"/>
            </c:ext>
          </c:extLst>
        </c:ser>
        <c:ser>
          <c:idx val="8"/>
          <c:order val="8"/>
          <c:tx>
            <c:strRef>
              <c:f>'2DCLSAD-HUNT'!$J$68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'2DCLSAD-HUNT'!$J$69:$J$98</c:f>
              <c:numCache>
                <c:formatCode>General</c:formatCode>
                <c:ptCount val="30"/>
                <c:pt idx="0">
                  <c:v>2.2386680183613724E-2</c:v>
                </c:pt>
                <c:pt idx="1">
                  <c:v>3.0343642648279042E-2</c:v>
                </c:pt>
                <c:pt idx="2">
                  <c:v>3.8482996758147252E-2</c:v>
                </c:pt>
                <c:pt idx="3">
                  <c:v>4.7347156038178913E-2</c:v>
                </c:pt>
                <c:pt idx="4">
                  <c:v>5.5163900823176751E-2</c:v>
                </c:pt>
                <c:pt idx="5">
                  <c:v>6.0797645202802952E-2</c:v>
                </c:pt>
                <c:pt idx="6">
                  <c:v>6.3453250042312115E-2</c:v>
                </c:pt>
                <c:pt idx="7">
                  <c:v>6.4245520036616155E-2</c:v>
                </c:pt>
                <c:pt idx="8">
                  <c:v>6.0863106404288179E-2</c:v>
                </c:pt>
                <c:pt idx="9">
                  <c:v>5.5231264834640206E-2</c:v>
                </c:pt>
                <c:pt idx="10">
                  <c:v>4.8200157900845579E-2</c:v>
                </c:pt>
                <c:pt idx="11">
                  <c:v>4.0591812124996476E-2</c:v>
                </c:pt>
                <c:pt idx="12">
                  <c:v>3.3081765296513931E-2</c:v>
                </c:pt>
                <c:pt idx="13">
                  <c:v>2.6150877955112183E-2</c:v>
                </c:pt>
                <c:pt idx="14">
                  <c:v>2.0086717933478913E-2</c:v>
                </c:pt>
                <c:pt idx="15">
                  <c:v>1.5012986648752738E-2</c:v>
                </c:pt>
                <c:pt idx="16">
                  <c:v>1.0930515032910548E-2</c:v>
                </c:pt>
                <c:pt idx="17">
                  <c:v>7.75904627585371E-3</c:v>
                </c:pt>
                <c:pt idx="18">
                  <c:v>5.373640919954804E-3</c:v>
                </c:pt>
                <c:pt idx="19">
                  <c:v>4.0840753946148785E-3</c:v>
                </c:pt>
                <c:pt idx="20">
                  <c:v>2.633138969896968E-3</c:v>
                </c:pt>
                <c:pt idx="21">
                  <c:v>1.6499830333551329E-3</c:v>
                </c:pt>
                <c:pt idx="22">
                  <c:v>1.0048054823257912E-3</c:v>
                </c:pt>
                <c:pt idx="23">
                  <c:v>5.9462480680759521E-4</c:v>
                </c:pt>
                <c:pt idx="24">
                  <c:v>3.4191535797146202E-4</c:v>
                </c:pt>
                <c:pt idx="25">
                  <c:v>1.9101251908742778E-4</c:v>
                </c:pt>
                <c:pt idx="26">
                  <c:v>1.0366321143804725E-4</c:v>
                </c:pt>
                <c:pt idx="27">
                  <c:v>5.4646104044736305E-5</c:v>
                </c:pt>
                <c:pt idx="28">
                  <c:v>2.7978123423960229E-5</c:v>
                </c:pt>
                <c:pt idx="29">
                  <c:v>1.3910971083399191E-5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645-9F40-A6E0-86D6B15D9276}"/>
            </c:ext>
          </c:extLst>
        </c:ser>
        <c:ser>
          <c:idx val="9"/>
          <c:order val="9"/>
          <c:tx>
            <c:strRef>
              <c:f>'2DCLSAD-HUNT'!$K$68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'2DCLSAD-HUNT'!$K$69:$K$98</c:f>
              <c:numCache>
                <c:formatCode>General</c:formatCode>
                <c:ptCount val="30"/>
                <c:pt idx="0">
                  <c:v>7.9095405235118758E-3</c:v>
                </c:pt>
                <c:pt idx="1">
                  <c:v>1.0449462693475173E-2</c:v>
                </c:pt>
                <c:pt idx="2">
                  <c:v>1.323528907005884E-2</c:v>
                </c:pt>
                <c:pt idx="3">
                  <c:v>1.6045516946458328E-2</c:v>
                </c:pt>
                <c:pt idx="4">
                  <c:v>1.8598558345379088E-2</c:v>
                </c:pt>
                <c:pt idx="5">
                  <c:v>2.0603596725688317E-2</c:v>
                </c:pt>
                <c:pt idx="6">
                  <c:v>2.1822867815962665E-2</c:v>
                </c:pt>
                <c:pt idx="7">
                  <c:v>2.2123861284043918E-2</c:v>
                </c:pt>
                <c:pt idx="8">
                  <c:v>2.1503351447132002E-2</c:v>
                </c:pt>
                <c:pt idx="9">
                  <c:v>2.007770166724767E-2</c:v>
                </c:pt>
                <c:pt idx="10">
                  <c:v>1.804732319552696E-2</c:v>
                </c:pt>
                <c:pt idx="11">
                  <c:v>1.5650236804033761E-2</c:v>
                </c:pt>
                <c:pt idx="12">
                  <c:v>1.3118927842975097E-2</c:v>
                </c:pt>
                <c:pt idx="13">
                  <c:v>1.0649282029567643E-2</c:v>
                </c:pt>
                <c:pt idx="14">
                  <c:v>8.384314987895599E-3</c:v>
                </c:pt>
                <c:pt idx="15">
                  <c:v>6.4110174923785969E-3</c:v>
                </c:pt>
                <c:pt idx="16">
                  <c:v>4.7664754954719075E-3</c:v>
                </c:pt>
                <c:pt idx="17">
                  <c:v>3.9074039110964884E-3</c:v>
                </c:pt>
                <c:pt idx="18">
                  <c:v>2.701126252291347E-3</c:v>
                </c:pt>
                <c:pt idx="19">
                  <c:v>1.812156886223996E-3</c:v>
                </c:pt>
                <c:pt idx="20">
                  <c:v>1.1801165131142335E-3</c:v>
                </c:pt>
                <c:pt idx="21">
                  <c:v>7.4608285905219853E-4</c:v>
                </c:pt>
                <c:pt idx="22">
                  <c:v>4.5794686539199524E-4</c:v>
                </c:pt>
                <c:pt idx="23">
                  <c:v>2.7291351048606532E-4</c:v>
                </c:pt>
                <c:pt idx="24">
                  <c:v>1.5791395039137715E-4</c:v>
                </c:pt>
                <c:pt idx="25">
                  <c:v>8.871476583293089E-5</c:v>
                </c:pt>
                <c:pt idx="26">
                  <c:v>4.8388156892972123E-5</c:v>
                </c:pt>
                <c:pt idx="27">
                  <c:v>2.5623186240581596E-5</c:v>
                </c:pt>
                <c:pt idx="28">
                  <c:v>1.3172190351396975E-5</c:v>
                </c:pt>
                <c:pt idx="29">
                  <c:v>6.5734221927984375E-6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45-9F40-A6E0-86D6B15D9276}"/>
            </c:ext>
          </c:extLst>
        </c:ser>
        <c:ser>
          <c:idx val="10"/>
          <c:order val="10"/>
          <c:tx>
            <c:strRef>
              <c:f>'2DCLSAD-HUNT'!$L$68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'2DCLSAD-HUNT'!$L$69:$L$98</c:f>
              <c:numCache>
                <c:formatCode>General</c:formatCode>
                <c:ptCount val="30"/>
                <c:pt idx="0">
                  <c:v>2.4218255185598225E-3</c:v>
                </c:pt>
                <c:pt idx="1">
                  <c:v>3.1498043425257668E-3</c:v>
                </c:pt>
                <c:pt idx="2">
                  <c:v>3.9418561216170971E-3</c:v>
                </c:pt>
                <c:pt idx="3">
                  <c:v>4.7427060095107804E-3</c:v>
                </c:pt>
                <c:pt idx="4">
                  <c:v>5.4830759559554099E-3</c:v>
                </c:pt>
                <c:pt idx="5">
                  <c:v>6.0899501949772759E-3</c:v>
                </c:pt>
                <c:pt idx="6">
                  <c:v>6.4994366118199297E-3</c:v>
                </c:pt>
                <c:pt idx="7">
                  <c:v>6.6687691512144244E-3</c:v>
                </c:pt>
                <c:pt idx="8">
                  <c:v>6.5840296868660414E-3</c:v>
                </c:pt>
                <c:pt idx="9">
                  <c:v>6.2615727303888509E-3</c:v>
                </c:pt>
                <c:pt idx="10">
                  <c:v>5.743230413789868E-3</c:v>
                </c:pt>
                <c:pt idx="11">
                  <c:v>5.087193724077922E-3</c:v>
                </c:pt>
                <c:pt idx="12">
                  <c:v>4.3573383849544924E-3</c:v>
                </c:pt>
                <c:pt idx="13">
                  <c:v>3.6135870261085868E-3</c:v>
                </c:pt>
                <c:pt idx="14">
                  <c:v>3.3154000050871391E-3</c:v>
                </c:pt>
                <c:pt idx="15">
                  <c:v>2.5506947418129007E-3</c:v>
                </c:pt>
                <c:pt idx="16">
                  <c:v>1.9001271215195704E-3</c:v>
                </c:pt>
                <c:pt idx="17">
                  <c:v>1.3712839948478682E-3</c:v>
                </c:pt>
                <c:pt idx="18">
                  <c:v>9.5911682209374322E-4</c:v>
                </c:pt>
                <c:pt idx="19">
                  <c:v>6.5036681484074738E-4</c:v>
                </c:pt>
                <c:pt idx="20">
                  <c:v>4.2766239505415116E-4</c:v>
                </c:pt>
                <c:pt idx="21">
                  <c:v>2.7276401760091817E-4</c:v>
                </c:pt>
                <c:pt idx="22">
                  <c:v>1.687651254755434E-4</c:v>
                </c:pt>
                <c:pt idx="23">
                  <c:v>1.0130639363374625E-4</c:v>
                </c:pt>
                <c:pt idx="24">
                  <c:v>5.9004391461890857E-5</c:v>
                </c:pt>
                <c:pt idx="25">
                  <c:v>3.3346375088622355E-5</c:v>
                </c:pt>
                <c:pt idx="26">
                  <c:v>1.8287073081273996E-5</c:v>
                </c:pt>
                <c:pt idx="27">
                  <c:v>9.7314683833744073E-6</c:v>
                </c:pt>
                <c:pt idx="28">
                  <c:v>5.0251948973337202E-6</c:v>
                </c:pt>
                <c:pt idx="29">
                  <c:v>2.5180551215537209E-6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45-9F40-A6E0-86D6B15D9276}"/>
            </c:ext>
          </c:extLst>
        </c:ser>
        <c:bandFmts/>
        <c:axId val="-2070054056"/>
        <c:axId val="-2070048648"/>
        <c:axId val="-2070645512"/>
      </c:surface3DChart>
      <c:catAx>
        <c:axId val="-2070054056"/>
        <c:scaling>
          <c:orientation val="minMax"/>
        </c:scaling>
        <c:delete val="0"/>
        <c:axPos val="b"/>
        <c:title>
          <c:tx>
            <c:rich>
              <a:bodyPr rot="1200000"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-2070048648"/>
        <c:crosses val="autoZero"/>
        <c:auto val="1"/>
        <c:lblAlgn val="ctr"/>
        <c:lblOffset val="100"/>
        <c:noMultiLvlLbl val="0"/>
      </c:catAx>
      <c:valAx>
        <c:axId val="-2070048648"/>
        <c:scaling>
          <c:orientation val="minMax"/>
          <c:max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Concentration (mg/L)</a:t>
                </a:r>
                <a:r>
                  <a:rPr lang="en-US" baseline="0"/>
                  <a:t> 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one"/>
        <c:crossAx val="-2070054056"/>
        <c:crosses val="autoZero"/>
        <c:crossBetween val="midCat"/>
        <c:majorUnit val="0.1"/>
      </c:valAx>
      <c:serAx>
        <c:axId val="-2070645512"/>
        <c:scaling>
          <c:orientation val="minMax"/>
        </c:scaling>
        <c:delete val="0"/>
        <c:axPos val="b"/>
        <c:title>
          <c:tx>
            <c:rich>
              <a:bodyPr rot="-4500000" vert="horz"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majorTickMark val="out"/>
        <c:minorTickMark val="none"/>
        <c:tickLblPos val="nextTo"/>
        <c:crossAx val="-2070048648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'1DRFCAT-HYDM'!$B$26</c:f>
          <c:strCache>
            <c:ptCount val="1"/>
            <c:pt idx="0">
              <c:v>Drawdown history at 96 (feet) from pumping well 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4.5400520801041601E-2"/>
          <c:y val="0.14975997758856999"/>
          <c:w val="0.87809951881014903"/>
          <c:h val="0.69245589093030002"/>
        </c:manualLayout>
      </c:layout>
      <c:scatterChart>
        <c:scatterStyle val="lineMarker"/>
        <c:varyColors val="0"/>
        <c:ser>
          <c:idx val="0"/>
          <c:order val="0"/>
          <c:tx>
            <c:strRef>
              <c:f>'1DRFCAT-HYDM'!$E$28</c:f>
              <c:strCache>
                <c:ptCount val="1"/>
                <c:pt idx="0">
                  <c:v>Drawdown(ft) </c:v>
                </c:pt>
              </c:strCache>
            </c:strRef>
          </c:tx>
          <c:spPr>
            <a:ln w="47625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'1DRFCAT-HYDM'!$A$29:$A$39</c:f>
              <c:numCache>
                <c:formatCode>General</c:formatCode>
                <c:ptCount val="11"/>
                <c:pt idx="0">
                  <c:v>5</c:v>
                </c:pt>
                <c:pt idx="1">
                  <c:v>28</c:v>
                </c:pt>
                <c:pt idx="2">
                  <c:v>41</c:v>
                </c:pt>
                <c:pt idx="3">
                  <c:v>60</c:v>
                </c:pt>
                <c:pt idx="4">
                  <c:v>75</c:v>
                </c:pt>
                <c:pt idx="5">
                  <c:v>244</c:v>
                </c:pt>
                <c:pt idx="6">
                  <c:v>493</c:v>
                </c:pt>
                <c:pt idx="7">
                  <c:v>669</c:v>
                </c:pt>
                <c:pt idx="8">
                  <c:v>958</c:v>
                </c:pt>
                <c:pt idx="9">
                  <c:v>1129</c:v>
                </c:pt>
                <c:pt idx="10">
                  <c:v>1185</c:v>
                </c:pt>
              </c:numCache>
            </c:numRef>
          </c:xVal>
          <c:yVal>
            <c:numRef>
              <c:f>'1DRFCAT-HYDM'!$E$29:$E$39</c:f>
              <c:numCache>
                <c:formatCode>General</c:formatCode>
                <c:ptCount val="11"/>
                <c:pt idx="0">
                  <c:v>1.034218949753132</c:v>
                </c:pt>
                <c:pt idx="1">
                  <c:v>2.7555898200010138</c:v>
                </c:pt>
                <c:pt idx="2">
                  <c:v>3.1755143971710713</c:v>
                </c:pt>
                <c:pt idx="3">
                  <c:v>3.6008036466018365</c:v>
                </c:pt>
                <c:pt idx="4">
                  <c:v>3.8520619146710047</c:v>
                </c:pt>
                <c:pt idx="5">
                  <c:v>5.1947760884659697</c:v>
                </c:pt>
                <c:pt idx="6">
                  <c:v>6.0012641073106137</c:v>
                </c:pt>
                <c:pt idx="7">
                  <c:v>6.351942979987756</c:v>
                </c:pt>
                <c:pt idx="8">
                  <c:v>6.7647186092323386</c:v>
                </c:pt>
                <c:pt idx="9">
                  <c:v>6.9536107588896581</c:v>
                </c:pt>
                <c:pt idx="10">
                  <c:v>7.0092959242678052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96-E646-B370-C0950525066B}"/>
            </c:ext>
          </c:extLst>
        </c:ser>
        <c:ser>
          <c:idx val="1"/>
          <c:order val="1"/>
          <c:tx>
            <c:strRef>
              <c:f>'1DRFCAT-HYDM'!$F$28</c:f>
              <c:strCache>
                <c:ptCount val="1"/>
                <c:pt idx="0">
                  <c:v>Observed Drawdown (ft)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9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'1DRFCAT-HYDM'!$A$29:$A$39</c:f>
              <c:numCache>
                <c:formatCode>General</c:formatCode>
                <c:ptCount val="11"/>
                <c:pt idx="0">
                  <c:v>5</c:v>
                </c:pt>
                <c:pt idx="1">
                  <c:v>28</c:v>
                </c:pt>
                <c:pt idx="2">
                  <c:v>41</c:v>
                </c:pt>
                <c:pt idx="3">
                  <c:v>60</c:v>
                </c:pt>
                <c:pt idx="4">
                  <c:v>75</c:v>
                </c:pt>
                <c:pt idx="5">
                  <c:v>244</c:v>
                </c:pt>
                <c:pt idx="6">
                  <c:v>493</c:v>
                </c:pt>
                <c:pt idx="7">
                  <c:v>669</c:v>
                </c:pt>
                <c:pt idx="8">
                  <c:v>958</c:v>
                </c:pt>
                <c:pt idx="9">
                  <c:v>1129</c:v>
                </c:pt>
                <c:pt idx="10">
                  <c:v>1185</c:v>
                </c:pt>
              </c:numCache>
            </c:numRef>
          </c:xVal>
          <c:yVal>
            <c:numRef>
              <c:f>'1DRFCAT-HYDM'!$F$29:$F$39</c:f>
              <c:numCache>
                <c:formatCode>General</c:formatCode>
                <c:ptCount val="11"/>
                <c:pt idx="0">
                  <c:v>0.96155025185460385</c:v>
                </c:pt>
                <c:pt idx="1">
                  <c:v>2.6659802293444845</c:v>
                </c:pt>
                <c:pt idx="2">
                  <c:v>3.0855088436859037</c:v>
                </c:pt>
                <c:pt idx="3">
                  <c:v>3.5109705383628724</c:v>
                </c:pt>
                <c:pt idx="4">
                  <c:v>3.7625233338455732</c:v>
                </c:pt>
                <c:pt idx="5">
                  <c:v>5.1081853259300862</c:v>
                </c:pt>
                <c:pt idx="6">
                  <c:v>5.9170094618137989</c:v>
                </c:pt>
                <c:pt idx="7">
                  <c:v>6.2687644111562282</c:v>
                </c:pt>
                <c:pt idx="8">
                  <c:v>6.6828359042083267</c:v>
                </c:pt>
                <c:pt idx="9">
                  <c:v>6.8723290313452603</c:v>
                </c:pt>
                <c:pt idx="10">
                  <c:v>6.9281921494756391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96-E646-B370-C09505250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925224"/>
        <c:axId val="-2070817992"/>
      </c:scatterChart>
      <c:valAx>
        <c:axId val="-2069925224"/>
        <c:scaling>
          <c:orientation val="minMax"/>
        </c:scaling>
        <c:delete val="0"/>
        <c:axPos val="b"/>
        <c:title>
          <c:tx>
            <c:strRef>
              <c:f>'1DRFCAT-HYDM'!$A$28</c:f>
              <c:strCache>
                <c:ptCount val="1"/>
                <c:pt idx="0">
                  <c:v>Elapsed Time (min)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-2070817992"/>
        <c:crosses val="autoZero"/>
        <c:crossBetween val="midCat"/>
      </c:valAx>
      <c:valAx>
        <c:axId val="-2070817992"/>
        <c:scaling>
          <c:orientation val="minMax"/>
        </c:scaling>
        <c:delete val="0"/>
        <c:axPos val="l"/>
        <c:majorGridlines/>
        <c:title>
          <c:tx>
            <c:strRef>
              <c:f>'1DRFCAT-HYDM'!$E$28</c:f>
              <c:strCache>
                <c:ptCount val="1"/>
                <c:pt idx="0">
                  <c:v>Drawdown(ft) 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699252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'1DRFLAH-HYDM'!$B$31</c:f>
          <c:strCache>
            <c:ptCount val="1"/>
            <c:pt idx="0">
              <c:v>Drawdown history at 96 (feet) from pumping well 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'1DRFLAH-HYDM'!$F$33</c:f>
              <c:strCache>
                <c:ptCount val="1"/>
                <c:pt idx="0">
                  <c:v>Drawdown (ft)</c:v>
                </c:pt>
              </c:strCache>
            </c:strRef>
          </c:tx>
          <c:spPr>
            <a:ln w="476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'1DRFLAH-HYDM'!$A$34:$A$44</c:f>
              <c:numCache>
                <c:formatCode>General</c:formatCode>
                <c:ptCount val="11"/>
                <c:pt idx="0">
                  <c:v>5</c:v>
                </c:pt>
                <c:pt idx="1">
                  <c:v>28</c:v>
                </c:pt>
                <c:pt idx="2">
                  <c:v>41</c:v>
                </c:pt>
                <c:pt idx="3">
                  <c:v>60</c:v>
                </c:pt>
                <c:pt idx="4">
                  <c:v>75</c:v>
                </c:pt>
                <c:pt idx="5">
                  <c:v>244</c:v>
                </c:pt>
                <c:pt idx="6">
                  <c:v>493</c:v>
                </c:pt>
                <c:pt idx="7">
                  <c:v>669</c:v>
                </c:pt>
                <c:pt idx="8">
                  <c:v>958</c:v>
                </c:pt>
                <c:pt idx="9">
                  <c:v>1129</c:v>
                </c:pt>
                <c:pt idx="10">
                  <c:v>1185</c:v>
                </c:pt>
              </c:numCache>
            </c:numRef>
          </c:xVal>
          <c:yVal>
            <c:numRef>
              <c:f>'1DRFLAH-HYDM'!$F$34:$F$44</c:f>
              <c:numCache>
                <c:formatCode>General</c:formatCode>
                <c:ptCount val="11"/>
                <c:pt idx="0">
                  <c:v>0.97308694867948109</c:v>
                </c:pt>
                <c:pt idx="1">
                  <c:v>3.086157572899745</c:v>
                </c:pt>
                <c:pt idx="2">
                  <c:v>3.5994501343754481</c:v>
                </c:pt>
                <c:pt idx="3">
                  <c:v>4.103088966555501</c:v>
                </c:pt>
                <c:pt idx="4">
                  <c:v>4.3894359050795053</c:v>
                </c:pt>
                <c:pt idx="5">
                  <c:v>5.6749898882081844</c:v>
                </c:pt>
                <c:pt idx="6">
                  <c:v>6.1423437858433365</c:v>
                </c:pt>
                <c:pt idx="7">
                  <c:v>6.2596793783303131</c:v>
                </c:pt>
                <c:pt idx="8">
                  <c:v>6.3398413702158729</c:v>
                </c:pt>
                <c:pt idx="9">
                  <c:v>6.3601864069933898</c:v>
                </c:pt>
                <c:pt idx="10">
                  <c:v>6.3646811720083383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77-A342-82AA-BDC8B5EB88CE}"/>
            </c:ext>
          </c:extLst>
        </c:ser>
        <c:ser>
          <c:idx val="1"/>
          <c:order val="1"/>
          <c:tx>
            <c:strRef>
              <c:f>'1DRFLAH-HYDM'!$G$33</c:f>
              <c:strCache>
                <c:ptCount val="1"/>
                <c:pt idx="0">
                  <c:v>Observed Drawdown (ft)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9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'1DRFLAH-HYDM'!$A$34:$A$44</c:f>
              <c:numCache>
                <c:formatCode>General</c:formatCode>
                <c:ptCount val="11"/>
                <c:pt idx="0">
                  <c:v>5</c:v>
                </c:pt>
                <c:pt idx="1">
                  <c:v>28</c:v>
                </c:pt>
                <c:pt idx="2">
                  <c:v>41</c:v>
                </c:pt>
                <c:pt idx="3">
                  <c:v>60</c:v>
                </c:pt>
                <c:pt idx="4">
                  <c:v>75</c:v>
                </c:pt>
                <c:pt idx="5">
                  <c:v>244</c:v>
                </c:pt>
                <c:pt idx="6">
                  <c:v>493</c:v>
                </c:pt>
                <c:pt idx="7">
                  <c:v>669</c:v>
                </c:pt>
                <c:pt idx="8">
                  <c:v>958</c:v>
                </c:pt>
                <c:pt idx="9">
                  <c:v>1129</c:v>
                </c:pt>
                <c:pt idx="10">
                  <c:v>1185</c:v>
                </c:pt>
              </c:numCache>
            </c:numRef>
          </c:xVal>
          <c:yVal>
            <c:numRef>
              <c:f>'1DRFLAH-HYDM'!$G$34:$G$44</c:f>
              <c:numCache>
                <c:formatCode>General</c:formatCode>
                <c:ptCount val="11"/>
                <c:pt idx="0">
                  <c:v>0.96</c:v>
                </c:pt>
                <c:pt idx="1">
                  <c:v>3.3</c:v>
                </c:pt>
                <c:pt idx="2">
                  <c:v>3.59</c:v>
                </c:pt>
                <c:pt idx="3">
                  <c:v>4.08</c:v>
                </c:pt>
                <c:pt idx="4">
                  <c:v>4.3899999999999997</c:v>
                </c:pt>
                <c:pt idx="5">
                  <c:v>5.47</c:v>
                </c:pt>
                <c:pt idx="6">
                  <c:v>5.96</c:v>
                </c:pt>
                <c:pt idx="7">
                  <c:v>6.11</c:v>
                </c:pt>
                <c:pt idx="8">
                  <c:v>6.27</c:v>
                </c:pt>
                <c:pt idx="9">
                  <c:v>6.4</c:v>
                </c:pt>
                <c:pt idx="10">
                  <c:v>6.42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77-A342-82AA-BDC8B5EB8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1832136"/>
        <c:axId val="-2122928680"/>
      </c:scatterChart>
      <c:valAx>
        <c:axId val="-2071832136"/>
        <c:scaling>
          <c:orientation val="minMax"/>
        </c:scaling>
        <c:delete val="0"/>
        <c:axPos val="b"/>
        <c:title>
          <c:tx>
            <c:strRef>
              <c:f>'1DRFLAH-HYDM'!$A$33</c:f>
              <c:strCache>
                <c:ptCount val="1"/>
                <c:pt idx="0">
                  <c:v>Elapsed Time (min)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-2122928680"/>
        <c:crosses val="autoZero"/>
        <c:crossBetween val="midCat"/>
      </c:valAx>
      <c:valAx>
        <c:axId val="-2122928680"/>
        <c:scaling>
          <c:orientation val="minMax"/>
        </c:scaling>
        <c:delete val="0"/>
        <c:axPos val="l"/>
        <c:majorGridlines/>
        <c:title>
          <c:tx>
            <c:strRef>
              <c:f>'1DRFLAH-HYDM'!$F$33</c:f>
              <c:strCache>
                <c:ptCount val="1"/>
                <c:pt idx="0">
                  <c:v>Drawdown (ft)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7183213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</xdr:colOff>
          <xdr:row>5</xdr:row>
          <xdr:rowOff>50800</xdr:rowOff>
        </xdr:from>
        <xdr:to>
          <xdr:col>4</xdr:col>
          <xdr:colOff>1955800</xdr:colOff>
          <xdr:row>5</xdr:row>
          <xdr:rowOff>342900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1DFPAD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18</xdr:row>
          <xdr:rowOff>38100</xdr:rowOff>
        </xdr:from>
        <xdr:to>
          <xdr:col>5</xdr:col>
          <xdr:colOff>0</xdr:colOff>
          <xdr:row>18</xdr:row>
          <xdr:rowOff>355600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2DFWCRAD-YUAN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19</xdr:row>
          <xdr:rowOff>38100</xdr:rowOff>
        </xdr:from>
        <xdr:to>
          <xdr:col>5</xdr:col>
          <xdr:colOff>0</xdr:colOff>
          <xdr:row>19</xdr:row>
          <xdr:rowOff>381000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2DFWCRAD-OB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20</xdr:row>
          <xdr:rowOff>50800</xdr:rowOff>
        </xdr:from>
        <xdr:to>
          <xdr:col>5</xdr:col>
          <xdr:colOff>12700</xdr:colOff>
          <xdr:row>20</xdr:row>
          <xdr:rowOff>381000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2DCLSAD-HUNT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21</xdr:row>
          <xdr:rowOff>38100</xdr:rowOff>
        </xdr:from>
        <xdr:to>
          <xdr:col>5</xdr:col>
          <xdr:colOff>0</xdr:colOff>
          <xdr:row>21</xdr:row>
          <xdr:rowOff>381000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1DRFCAT-HYDM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22</xdr:row>
          <xdr:rowOff>38100</xdr:rowOff>
        </xdr:from>
        <xdr:to>
          <xdr:col>5</xdr:col>
          <xdr:colOff>0</xdr:colOff>
          <xdr:row>22</xdr:row>
          <xdr:rowOff>381000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1DRFLAH-HYDM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6</xdr:row>
          <xdr:rowOff>50800</xdr:rowOff>
        </xdr:from>
        <xdr:to>
          <xdr:col>4</xdr:col>
          <xdr:colOff>1955800</xdr:colOff>
          <xdr:row>6</xdr:row>
          <xdr:rowOff>342900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1DEDAD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177800</xdr:colOff>
      <xdr:row>10</xdr:row>
      <xdr:rowOff>101600</xdr:rowOff>
    </xdr:from>
    <xdr:to>
      <xdr:col>15</xdr:col>
      <xdr:colOff>190500</xdr:colOff>
      <xdr:row>33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12</xdr:col>
      <xdr:colOff>546100</xdr:colOff>
      <xdr:row>30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</xdr:colOff>
      <xdr:row>26</xdr:row>
      <xdr:rowOff>63500</xdr:rowOff>
    </xdr:from>
    <xdr:to>
      <xdr:col>9</xdr:col>
      <xdr:colOff>660400</xdr:colOff>
      <xdr:row>49</xdr:row>
      <xdr:rowOff>101600</xdr:rowOff>
    </xdr:to>
    <xdr:graphicFrame macro="">
      <xdr:nvGraphicFramePr>
        <xdr:cNvPr id="2" name="Chart 49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0</xdr:row>
      <xdr:rowOff>76200</xdr:rowOff>
    </xdr:from>
    <xdr:to>
      <xdr:col>11</xdr:col>
      <xdr:colOff>482600</xdr:colOff>
      <xdr:row>28</xdr:row>
      <xdr:rowOff>88900</xdr:rowOff>
    </xdr:to>
    <xdr:graphicFrame macro="">
      <xdr:nvGraphicFramePr>
        <xdr:cNvPr id="2" name="Chart 6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241300</xdr:colOff>
      <xdr:row>10</xdr:row>
      <xdr:rowOff>44450</xdr:rowOff>
    </xdr:from>
    <xdr:to>
      <xdr:col>16</xdr:col>
      <xdr:colOff>622300</xdr:colOff>
      <xdr:row>34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177800</xdr:colOff>
      <xdr:row>10</xdr:row>
      <xdr:rowOff>101600</xdr:rowOff>
    </xdr:from>
    <xdr:to>
      <xdr:col>15</xdr:col>
      <xdr:colOff>190500</xdr:colOff>
      <xdr:row>33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12</xdr:col>
      <xdr:colOff>546100</xdr:colOff>
      <xdr:row>30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</xdr:colOff>
      <xdr:row>26</xdr:row>
      <xdr:rowOff>63500</xdr:rowOff>
    </xdr:from>
    <xdr:to>
      <xdr:col>9</xdr:col>
      <xdr:colOff>660400</xdr:colOff>
      <xdr:row>49</xdr:row>
      <xdr:rowOff>101600</xdr:rowOff>
    </xdr:to>
    <xdr:graphicFrame macro="">
      <xdr:nvGraphicFramePr>
        <xdr:cNvPr id="2" name="Chart 49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0</xdr:row>
      <xdr:rowOff>76200</xdr:rowOff>
    </xdr:from>
    <xdr:to>
      <xdr:col>11</xdr:col>
      <xdr:colOff>482600</xdr:colOff>
      <xdr:row>29</xdr:row>
      <xdr:rowOff>88900</xdr:rowOff>
    </xdr:to>
    <xdr:graphicFrame macro="">
      <xdr:nvGraphicFramePr>
        <xdr:cNvPr id="2" name="Chart 6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457200</xdr:colOff>
      <xdr:row>5</xdr:row>
      <xdr:rowOff>57150</xdr:rowOff>
    </xdr:from>
    <xdr:to>
      <xdr:col>18</xdr:col>
      <xdr:colOff>12700</xdr:colOff>
      <xdr:row>34</xdr:row>
      <xdr:rowOff>266700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330200</xdr:colOff>
      <xdr:row>12</xdr:row>
      <xdr:rowOff>95250</xdr:rowOff>
    </xdr:from>
    <xdr:to>
      <xdr:col>16</xdr:col>
      <xdr:colOff>88900</xdr:colOff>
      <xdr:row>36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11</xdr:row>
      <xdr:rowOff>12700</xdr:rowOff>
    </xdr:from>
    <xdr:to>
      <xdr:col>17</xdr:col>
      <xdr:colOff>368300</xdr:colOff>
      <xdr:row>36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22</xdr:row>
      <xdr:rowOff>6350</xdr:rowOff>
    </xdr:from>
    <xdr:to>
      <xdr:col>12</xdr:col>
      <xdr:colOff>787400</xdr:colOff>
      <xdr:row>45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38100</xdr:colOff>
      <xdr:row>46</xdr:row>
      <xdr:rowOff>120650</xdr:rowOff>
    </xdr:from>
    <xdr:to>
      <xdr:col>12</xdr:col>
      <xdr:colOff>787400</xdr:colOff>
      <xdr:row>65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292099</xdr:colOff>
      <xdr:row>1</xdr:row>
      <xdr:rowOff>0</xdr:rowOff>
    </xdr:from>
    <xdr:to>
      <xdr:col>22</xdr:col>
      <xdr:colOff>26162</xdr:colOff>
      <xdr:row>18</xdr:row>
      <xdr:rowOff>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F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09099" y="190500"/>
          <a:ext cx="8814563" cy="3238500"/>
        </a:xfrm>
        <a:prstGeom prst="rect">
          <a:avLst/>
        </a:prstGeom>
      </xdr:spPr>
    </xdr:pic>
    <xdr:clientData/>
  </xdr:twoCellAnchor>
  <xdr:twoCellAnchor>
    <xdr:from>
      <xdr:col>11</xdr:col>
      <xdr:colOff>330200</xdr:colOff>
      <xdr:row>19</xdr:row>
      <xdr:rowOff>127000</xdr:rowOff>
    </xdr:from>
    <xdr:to>
      <xdr:col>21</xdr:col>
      <xdr:colOff>812800</xdr:colOff>
      <xdr:row>32</xdr:row>
      <xdr:rowOff>76200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660400</xdr:colOff>
      <xdr:row>0</xdr:row>
      <xdr:rowOff>101600</xdr:rowOff>
    </xdr:from>
    <xdr:to>
      <xdr:col>17</xdr:col>
      <xdr:colOff>431800</xdr:colOff>
      <xdr:row>13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99300" y="101600"/>
          <a:ext cx="6146800" cy="2451100"/>
        </a:xfrm>
        <a:prstGeom prst="rect">
          <a:avLst/>
        </a:prstGeom>
      </xdr:spPr>
    </xdr:pic>
    <xdr:clientData/>
  </xdr:twoCellAnchor>
  <xdr:twoCellAnchor>
    <xdr:from>
      <xdr:col>10</xdr:col>
      <xdr:colOff>63500</xdr:colOff>
      <xdr:row>17</xdr:row>
      <xdr:rowOff>139700</xdr:rowOff>
    </xdr:from>
    <xdr:to>
      <xdr:col>17</xdr:col>
      <xdr:colOff>419100</xdr:colOff>
      <xdr:row>32</xdr:row>
      <xdr:rowOff>1536700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leveland/Downloads/1D_finite_pulse_advection_dispersio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e5"/>
      <sheetName val="EEXP(Z)"/>
      <sheetName val="ERFCC(Z)"/>
      <sheetName val="ERFF(Z)"/>
    </sheetNames>
    <sheetDataSet>
      <sheetData sheetId="0"/>
      <sheetData sheetId="1">
        <row r="1">
          <cell r="A1" t="b">
            <v>1</v>
          </cell>
        </row>
      </sheetData>
      <sheetData sheetId="2">
        <row r="1">
          <cell r="E1" t="b">
            <v>1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3"/>
  <sheetViews>
    <sheetView workbookViewId="0">
      <selection activeCell="D15" sqref="D15"/>
    </sheetView>
  </sheetViews>
  <sheetFormatPr baseColWidth="10" defaultRowHeight="16" x14ac:dyDescent="0.2"/>
  <cols>
    <col min="1" max="1" width="62" customWidth="1"/>
    <col min="2" max="2" width="16.83203125" customWidth="1"/>
    <col min="3" max="3" width="19.33203125" customWidth="1"/>
    <col min="4" max="4" width="18.33203125" customWidth="1"/>
    <col min="5" max="5" width="26.1640625" customWidth="1"/>
  </cols>
  <sheetData>
    <row r="1" spans="1:5" ht="22" customHeight="1" x14ac:dyDescent="0.2">
      <c r="A1" t="s">
        <v>75</v>
      </c>
    </row>
    <row r="2" spans="1:5" ht="22" customHeight="1" x14ac:dyDescent="0.25">
      <c r="A2" s="55" t="s">
        <v>76</v>
      </c>
      <c r="B2" s="55" t="s">
        <v>77</v>
      </c>
      <c r="C2" s="55" t="s">
        <v>78</v>
      </c>
      <c r="D2" s="55" t="s">
        <v>147</v>
      </c>
      <c r="E2" s="55" t="s">
        <v>280</v>
      </c>
    </row>
    <row r="3" spans="1:5" ht="30" customHeight="1" x14ac:dyDescent="0.2">
      <c r="A3" s="3" t="s">
        <v>315</v>
      </c>
      <c r="B3" t="s">
        <v>323</v>
      </c>
    </row>
    <row r="4" spans="1:5" ht="30" customHeight="1" x14ac:dyDescent="0.2">
      <c r="A4" s="20" t="s">
        <v>334</v>
      </c>
      <c r="B4" t="s">
        <v>335</v>
      </c>
    </row>
    <row r="5" spans="1:5" ht="30" customHeight="1" x14ac:dyDescent="0.2">
      <c r="A5" s="3" t="s">
        <v>336</v>
      </c>
      <c r="B5" t="s">
        <v>337</v>
      </c>
    </row>
    <row r="6" spans="1:5" ht="30" customHeight="1" x14ac:dyDescent="0.2">
      <c r="A6" s="3" t="s">
        <v>74</v>
      </c>
      <c r="B6" t="s">
        <v>79</v>
      </c>
    </row>
    <row r="7" spans="1:5" ht="30" customHeight="1" x14ac:dyDescent="0.2">
      <c r="A7" s="3" t="s">
        <v>293</v>
      </c>
      <c r="B7" t="s">
        <v>297</v>
      </c>
    </row>
    <row r="8" spans="1:5" ht="30" customHeight="1" x14ac:dyDescent="0.2">
      <c r="A8" s="3" t="s">
        <v>356</v>
      </c>
      <c r="B8" t="s">
        <v>366</v>
      </c>
    </row>
    <row r="9" spans="1:5" ht="30" customHeight="1" x14ac:dyDescent="0.2">
      <c r="A9" s="20" t="s">
        <v>357</v>
      </c>
      <c r="B9" t="s">
        <v>367</v>
      </c>
    </row>
    <row r="10" spans="1:5" ht="30" customHeight="1" x14ac:dyDescent="0.2">
      <c r="A10" s="3" t="s">
        <v>358</v>
      </c>
      <c r="B10" t="s">
        <v>368</v>
      </c>
    </row>
    <row r="11" spans="1:5" ht="30" customHeight="1" x14ac:dyDescent="0.2">
      <c r="A11" s="3" t="s">
        <v>359</v>
      </c>
      <c r="B11" t="s">
        <v>369</v>
      </c>
    </row>
    <row r="12" spans="1:5" ht="31" customHeight="1" x14ac:dyDescent="0.2">
      <c r="A12" s="3" t="s">
        <v>360</v>
      </c>
      <c r="B12" t="s">
        <v>370</v>
      </c>
    </row>
    <row r="13" spans="1:5" ht="31" customHeight="1" x14ac:dyDescent="0.2">
      <c r="A13" s="3" t="s">
        <v>361</v>
      </c>
      <c r="B13" t="s">
        <v>371</v>
      </c>
    </row>
    <row r="14" spans="1:5" ht="31" customHeight="1" x14ac:dyDescent="0.2">
      <c r="A14" s="20" t="s">
        <v>362</v>
      </c>
      <c r="B14" t="s">
        <v>372</v>
      </c>
    </row>
    <row r="15" spans="1:5" ht="31" customHeight="1" x14ac:dyDescent="0.2">
      <c r="A15" s="3" t="s">
        <v>363</v>
      </c>
      <c r="B15" t="s">
        <v>373</v>
      </c>
    </row>
    <row r="16" spans="1:5" ht="31" customHeight="1" x14ac:dyDescent="0.2">
      <c r="A16" s="3" t="s">
        <v>364</v>
      </c>
      <c r="B16" t="s">
        <v>374</v>
      </c>
    </row>
    <row r="17" spans="1:4" ht="31" customHeight="1" x14ac:dyDescent="0.2">
      <c r="A17" s="3" t="s">
        <v>365</v>
      </c>
      <c r="B17" t="s">
        <v>375</v>
      </c>
    </row>
    <row r="18" spans="1:4" ht="31" customHeight="1" x14ac:dyDescent="0.2"/>
    <row r="19" spans="1:4" ht="31" customHeight="1" x14ac:dyDescent="0.2">
      <c r="A19" s="20" t="s">
        <v>144</v>
      </c>
      <c r="B19" t="s">
        <v>145</v>
      </c>
      <c r="D19" t="s">
        <v>149</v>
      </c>
    </row>
    <row r="20" spans="1:4" ht="31" customHeight="1" x14ac:dyDescent="0.2">
      <c r="A20" s="20" t="s">
        <v>143</v>
      </c>
      <c r="B20" t="s">
        <v>146</v>
      </c>
      <c r="D20" t="s">
        <v>148</v>
      </c>
    </row>
    <row r="21" spans="1:4" ht="31" customHeight="1" x14ac:dyDescent="0.2">
      <c r="A21" s="3" t="s">
        <v>266</v>
      </c>
      <c r="B21" t="s">
        <v>268</v>
      </c>
      <c r="D21" t="s">
        <v>267</v>
      </c>
    </row>
    <row r="22" spans="1:4" ht="31" customHeight="1" x14ac:dyDescent="0.2">
      <c r="A22" t="s">
        <v>165</v>
      </c>
      <c r="B22" t="s">
        <v>164</v>
      </c>
      <c r="D22" t="s">
        <v>162</v>
      </c>
    </row>
    <row r="23" spans="1:4" ht="31" customHeight="1" x14ac:dyDescent="0.2">
      <c r="A23" t="s">
        <v>222</v>
      </c>
      <c r="B23" t="s">
        <v>223</v>
      </c>
      <c r="D23" t="s">
        <v>224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63500</xdr:colOff>
                    <xdr:row>5</xdr:row>
                    <xdr:rowOff>50800</xdr:rowOff>
                  </from>
                  <to>
                    <xdr:col>4</xdr:col>
                    <xdr:colOff>1955800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127000</xdr:colOff>
                    <xdr:row>18</xdr:row>
                    <xdr:rowOff>38100</xdr:rowOff>
                  </from>
                  <to>
                    <xdr:col>5</xdr:col>
                    <xdr:colOff>0</xdr:colOff>
                    <xdr:row>18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Button3_Click">
                <anchor moveWithCells="1" sizeWithCells="1">
                  <from>
                    <xdr:col>4</xdr:col>
                    <xdr:colOff>127000</xdr:colOff>
                    <xdr:row>19</xdr:row>
                    <xdr:rowOff>38100</xdr:rowOff>
                  </from>
                  <to>
                    <xdr:col>5</xdr:col>
                    <xdr:colOff>0</xdr:colOff>
                    <xdr:row>19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Button4_Click">
                <anchor moveWithCells="1" sizeWithCells="1">
                  <from>
                    <xdr:col>4</xdr:col>
                    <xdr:colOff>114300</xdr:colOff>
                    <xdr:row>20</xdr:row>
                    <xdr:rowOff>50800</xdr:rowOff>
                  </from>
                  <to>
                    <xdr:col>5</xdr:col>
                    <xdr:colOff>12700</xdr:colOff>
                    <xdr:row>20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Button5_Click">
                <anchor moveWithCells="1" sizeWithCells="1">
                  <from>
                    <xdr:col>4</xdr:col>
                    <xdr:colOff>114300</xdr:colOff>
                    <xdr:row>21</xdr:row>
                    <xdr:rowOff>38100</xdr:rowOff>
                  </from>
                  <to>
                    <xdr:col>5</xdr:col>
                    <xdr:colOff>0</xdr:colOff>
                    <xdr:row>21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Button6_Click">
                <anchor moveWithCells="1" sizeWithCells="1">
                  <from>
                    <xdr:col>4</xdr:col>
                    <xdr:colOff>127000</xdr:colOff>
                    <xdr:row>22</xdr:row>
                    <xdr:rowOff>38100</xdr:rowOff>
                  </from>
                  <to>
                    <xdr:col>5</xdr:col>
                    <xdr:colOff>0</xdr:colOff>
                    <xdr:row>22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9" name="Button 8">
              <controlPr defaultSize="0" print="0" autoFill="0" autoPict="0" macro="[0]!Button8_Click">
                <anchor moveWithCells="1" sizeWithCells="1">
                  <from>
                    <xdr:col>4</xdr:col>
                    <xdr:colOff>76200</xdr:colOff>
                    <xdr:row>6</xdr:row>
                    <xdr:rowOff>50800</xdr:rowOff>
                  </from>
                  <to>
                    <xdr:col>4</xdr:col>
                    <xdr:colOff>1955800</xdr:colOff>
                    <xdr:row>6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100"/>
  <sheetViews>
    <sheetView topLeftCell="A55" workbookViewId="0">
      <selection activeCell="O28" sqref="O28"/>
    </sheetView>
  </sheetViews>
  <sheetFormatPr baseColWidth="10" defaultRowHeight="16" x14ac:dyDescent="0.2"/>
  <cols>
    <col min="1" max="1" width="19.33203125" customWidth="1"/>
    <col min="2" max="8" width="11" bestFit="1" customWidth="1"/>
    <col min="9" max="9" width="12.33203125" bestFit="1" customWidth="1"/>
    <col min="10" max="10" width="12.33203125" customWidth="1"/>
    <col min="11" max="11" width="12.1640625" bestFit="1" customWidth="1"/>
    <col min="12" max="12" width="13" customWidth="1"/>
    <col min="13" max="13" width="11" bestFit="1" customWidth="1"/>
  </cols>
  <sheetData>
    <row r="1" spans="1:13" x14ac:dyDescent="0.2">
      <c r="A1" s="3" t="s">
        <v>32</v>
      </c>
      <c r="B1" s="3" t="s">
        <v>336</v>
      </c>
      <c r="C1" s="3"/>
      <c r="D1" s="3"/>
      <c r="E1" s="3"/>
      <c r="F1" s="3"/>
      <c r="G1" s="3"/>
      <c r="H1" s="3"/>
      <c r="K1" s="3"/>
      <c r="L1" s="3"/>
      <c r="M1" s="3"/>
    </row>
    <row r="2" spans="1:13" x14ac:dyDescent="0.2">
      <c r="A2" s="3" t="s">
        <v>191</v>
      </c>
      <c r="B2" s="3" t="s">
        <v>208</v>
      </c>
      <c r="C2" s="3"/>
      <c r="D2" s="3"/>
      <c r="E2" s="3"/>
      <c r="F2" s="3"/>
      <c r="G2" s="3"/>
      <c r="H2" s="3"/>
      <c r="K2" s="3"/>
      <c r="L2" s="3"/>
      <c r="M2" s="3"/>
    </row>
    <row r="3" spans="1:13" x14ac:dyDescent="0.2">
      <c r="A3" s="3" t="s">
        <v>273</v>
      </c>
      <c r="B3" s="3">
        <v>1</v>
      </c>
      <c r="C3" s="3"/>
      <c r="D3" s="3"/>
      <c r="E3" s="3"/>
      <c r="F3" s="3"/>
      <c r="G3" s="3"/>
      <c r="H3" s="3"/>
      <c r="K3" s="3"/>
      <c r="L3" s="3"/>
      <c r="M3" s="3"/>
    </row>
    <row r="4" spans="1:13" x14ac:dyDescent="0.2">
      <c r="A4" s="3" t="s">
        <v>274</v>
      </c>
      <c r="B4" s="3" t="s">
        <v>19</v>
      </c>
      <c r="C4" s="3"/>
      <c r="D4" s="3"/>
      <c r="E4" s="3"/>
      <c r="F4" s="3"/>
      <c r="G4" s="3"/>
      <c r="H4" s="3"/>
      <c r="K4" s="3"/>
      <c r="L4" s="3"/>
      <c r="M4" s="3"/>
    </row>
    <row r="5" spans="1:13" x14ac:dyDescent="0.2">
      <c r="A5" s="3" t="s">
        <v>275</v>
      </c>
      <c r="B5" s="3" t="s">
        <v>19</v>
      </c>
      <c r="C5" s="3"/>
      <c r="D5" s="3"/>
      <c r="E5" s="3"/>
      <c r="F5" s="3"/>
      <c r="G5" s="3"/>
      <c r="H5" s="3"/>
      <c r="K5" s="3"/>
      <c r="L5" s="3"/>
      <c r="M5" s="3"/>
    </row>
    <row r="6" spans="1:13" x14ac:dyDescent="0.2">
      <c r="A6" s="3" t="s">
        <v>276</v>
      </c>
      <c r="B6" s="3" t="s">
        <v>352</v>
      </c>
      <c r="C6" s="3"/>
      <c r="D6" s="3"/>
      <c r="E6" s="3"/>
      <c r="F6" s="3"/>
      <c r="G6" s="3"/>
      <c r="H6" s="3"/>
      <c r="K6" s="3"/>
      <c r="L6" s="3"/>
      <c r="M6" s="3"/>
    </row>
    <row r="7" spans="1:13" x14ac:dyDescent="0.2">
      <c r="A7" s="3" t="s">
        <v>277</v>
      </c>
      <c r="B7" s="3" t="s">
        <v>24</v>
      </c>
      <c r="C7" s="3"/>
      <c r="D7" s="3"/>
      <c r="E7" s="3"/>
      <c r="F7" s="3"/>
      <c r="G7" s="3"/>
      <c r="H7" s="3"/>
      <c r="K7" s="3"/>
      <c r="L7" s="3"/>
      <c r="M7" s="3"/>
    </row>
    <row r="8" spans="1:13" x14ac:dyDescent="0.2">
      <c r="A8" s="3" t="s">
        <v>278</v>
      </c>
      <c r="B8" s="3" t="s">
        <v>26</v>
      </c>
      <c r="C8" s="3"/>
      <c r="D8" s="3"/>
      <c r="E8" s="3"/>
      <c r="F8" s="3"/>
      <c r="G8" s="3"/>
      <c r="H8" s="3"/>
      <c r="K8" s="3"/>
      <c r="L8" s="3"/>
      <c r="M8" s="3"/>
    </row>
    <row r="9" spans="1:13" x14ac:dyDescent="0.2">
      <c r="A9" s="3" t="s">
        <v>279</v>
      </c>
      <c r="B9" s="3" t="s">
        <v>26</v>
      </c>
      <c r="C9" s="3"/>
      <c r="D9" s="3"/>
      <c r="E9" s="3"/>
      <c r="F9" s="3"/>
      <c r="G9" s="3"/>
      <c r="H9" s="3"/>
      <c r="K9" s="3"/>
      <c r="L9" s="3"/>
      <c r="M9" s="3"/>
    </row>
    <row r="10" spans="1:13" x14ac:dyDescent="0.2">
      <c r="A10" s="3" t="s">
        <v>130</v>
      </c>
      <c r="B10" s="3" t="s">
        <v>353</v>
      </c>
      <c r="C10" s="3"/>
      <c r="D10" s="3"/>
      <c r="E10" s="3"/>
      <c r="F10" s="3"/>
      <c r="G10" s="3"/>
      <c r="H10" s="3"/>
      <c r="K10" s="3"/>
      <c r="L10" s="3"/>
      <c r="M10" s="3"/>
    </row>
    <row r="11" spans="1:13" x14ac:dyDescent="0.2">
      <c r="A11" s="3"/>
      <c r="B11" s="3"/>
      <c r="C11" s="3"/>
      <c r="D11" s="3"/>
      <c r="E11" s="3"/>
      <c r="F11" s="3"/>
      <c r="G11" s="3"/>
      <c r="H11" s="3"/>
      <c r="K11" s="3"/>
      <c r="L11" s="3"/>
      <c r="M11" s="3"/>
    </row>
    <row r="12" spans="1:13" x14ac:dyDescent="0.2">
      <c r="A12" s="3"/>
      <c r="B12" s="3"/>
      <c r="C12" s="3"/>
      <c r="D12" s="3"/>
      <c r="E12" s="3"/>
      <c r="F12" s="3"/>
      <c r="G12" s="3"/>
      <c r="H12" s="3"/>
      <c r="K12" s="3"/>
      <c r="L12" s="3"/>
      <c r="M12" s="3"/>
    </row>
    <row r="13" spans="1:13" x14ac:dyDescent="0.2">
      <c r="A13" s="3" t="s">
        <v>30</v>
      </c>
      <c r="B13" s="3"/>
      <c r="C13" s="3"/>
      <c r="D13" s="3"/>
      <c r="E13" s="3"/>
      <c r="F13" s="3"/>
      <c r="G13" s="3"/>
      <c r="H13" s="3"/>
      <c r="K13" s="3"/>
      <c r="L13" s="3"/>
      <c r="M13" s="3"/>
    </row>
    <row r="14" spans="1:13" x14ac:dyDescent="0.2">
      <c r="A14" s="3" t="s">
        <v>85</v>
      </c>
      <c r="B14" s="3" t="s">
        <v>86</v>
      </c>
      <c r="C14" s="3"/>
      <c r="D14" s="3"/>
      <c r="E14" s="3"/>
      <c r="F14" s="3"/>
      <c r="G14" s="3"/>
      <c r="H14" s="3"/>
      <c r="K14" s="3"/>
      <c r="L14" s="3"/>
      <c r="M14" s="3"/>
    </row>
    <row r="15" spans="1:13" x14ac:dyDescent="0.2">
      <c r="B15" s="3" t="s">
        <v>294</v>
      </c>
      <c r="C15" s="3"/>
      <c r="D15" s="3"/>
      <c r="E15" s="3"/>
      <c r="F15" s="3"/>
      <c r="G15" s="3"/>
      <c r="H15" s="3"/>
      <c r="K15" s="3"/>
      <c r="L15" s="3"/>
      <c r="M15" s="3"/>
    </row>
    <row r="16" spans="1:13" x14ac:dyDescent="0.2">
      <c r="A16" s="3" t="s">
        <v>87</v>
      </c>
      <c r="B16" s="3" t="s">
        <v>354</v>
      </c>
      <c r="C16" s="3"/>
      <c r="D16" s="3"/>
      <c r="E16" s="3"/>
      <c r="F16" s="3"/>
      <c r="G16" s="3"/>
      <c r="H16" s="3"/>
      <c r="K16" s="3"/>
      <c r="L16" s="3"/>
      <c r="M16" s="3"/>
    </row>
    <row r="17" spans="1:13" x14ac:dyDescent="0.2">
      <c r="A17" s="3"/>
      <c r="B17" s="3"/>
      <c r="C17" s="3"/>
      <c r="D17" s="3"/>
      <c r="E17" s="3"/>
      <c r="F17" s="3"/>
      <c r="G17" s="3"/>
      <c r="H17" s="3"/>
      <c r="K17" s="3"/>
      <c r="L17" s="3"/>
      <c r="M17" s="3"/>
    </row>
    <row r="18" spans="1:13" x14ac:dyDescent="0.2">
      <c r="A18" s="3" t="s">
        <v>93</v>
      </c>
      <c r="B18" s="3" t="s">
        <v>131</v>
      </c>
      <c r="C18" s="3"/>
      <c r="D18" s="3"/>
      <c r="E18" s="3"/>
      <c r="F18" s="3"/>
      <c r="G18" s="3"/>
      <c r="H18" s="3"/>
      <c r="K18" s="3"/>
      <c r="L18" s="3"/>
      <c r="M18" s="3"/>
    </row>
    <row r="19" spans="1:13" ht="17" thickBot="1" x14ac:dyDescent="0.25">
      <c r="A19" s="3"/>
      <c r="B19" s="3"/>
      <c r="C19" s="3"/>
      <c r="D19" s="3"/>
      <c r="E19" s="3"/>
      <c r="F19" s="3"/>
      <c r="G19" s="3"/>
      <c r="H19" s="3"/>
      <c r="K19" s="3"/>
      <c r="L19" s="3"/>
      <c r="M19" s="3"/>
    </row>
    <row r="20" spans="1:13" x14ac:dyDescent="0.2">
      <c r="A20" s="88" t="s">
        <v>33</v>
      </c>
      <c r="B20" s="89"/>
      <c r="C20" s="89"/>
      <c r="D20" s="89"/>
      <c r="E20" s="89"/>
      <c r="F20" s="89"/>
      <c r="G20" s="89"/>
      <c r="H20" s="90"/>
      <c r="I20" s="3"/>
      <c r="J20" s="3"/>
      <c r="K20" s="3"/>
      <c r="L20" s="3"/>
      <c r="M20" s="3"/>
    </row>
    <row r="21" spans="1:13" x14ac:dyDescent="0.2">
      <c r="A21" s="80" t="s">
        <v>34</v>
      </c>
      <c r="B21" s="81">
        <v>4</v>
      </c>
      <c r="C21" s="81" t="s">
        <v>338</v>
      </c>
      <c r="D21" s="81"/>
      <c r="E21" s="81" t="s">
        <v>329</v>
      </c>
      <c r="F21" s="81"/>
      <c r="G21" s="81"/>
      <c r="H21" s="82"/>
      <c r="I21" s="3"/>
      <c r="J21" s="3"/>
      <c r="K21" s="3"/>
      <c r="L21" s="3"/>
      <c r="M21" s="3"/>
    </row>
    <row r="22" spans="1:13" x14ac:dyDescent="0.2">
      <c r="A22" s="80" t="s">
        <v>166</v>
      </c>
      <c r="B22" s="81">
        <v>1</v>
      </c>
      <c r="C22" s="81" t="s">
        <v>355</v>
      </c>
      <c r="D22" s="81"/>
      <c r="E22" s="81"/>
      <c r="F22" s="81"/>
      <c r="G22" s="81"/>
      <c r="H22" s="82"/>
      <c r="I22" s="3"/>
      <c r="J22" s="3"/>
      <c r="K22" s="3"/>
      <c r="L22" s="3"/>
      <c r="M22" s="3"/>
    </row>
    <row r="23" spans="1:13" x14ac:dyDescent="0.2">
      <c r="A23" s="80" t="s">
        <v>36</v>
      </c>
      <c r="B23" s="81">
        <v>1</v>
      </c>
      <c r="C23" s="81" t="s">
        <v>37</v>
      </c>
      <c r="D23" s="81"/>
      <c r="E23" s="81" t="s">
        <v>38</v>
      </c>
      <c r="F23" s="81"/>
      <c r="G23" s="81"/>
      <c r="H23" s="82"/>
      <c r="I23" s="3"/>
      <c r="J23" s="3"/>
      <c r="K23" s="3"/>
      <c r="L23" s="3"/>
      <c r="M23" s="3"/>
    </row>
    <row r="24" spans="1:13" x14ac:dyDescent="0.2">
      <c r="A24" s="80" t="s">
        <v>39</v>
      </c>
      <c r="B24" s="81">
        <v>0.5</v>
      </c>
      <c r="C24" s="81" t="s">
        <v>40</v>
      </c>
      <c r="D24" s="81"/>
      <c r="E24" s="81"/>
      <c r="F24" s="81"/>
      <c r="G24" s="81"/>
      <c r="H24" s="82"/>
      <c r="I24" s="3"/>
      <c r="J24" s="3"/>
      <c r="K24" s="3"/>
      <c r="L24" s="3"/>
      <c r="M24" s="3"/>
    </row>
    <row r="25" spans="1:13" x14ac:dyDescent="0.2">
      <c r="A25" s="80" t="s">
        <v>41</v>
      </c>
      <c r="B25" s="81">
        <v>1</v>
      </c>
      <c r="C25" s="81" t="s">
        <v>42</v>
      </c>
      <c r="D25" s="81"/>
      <c r="E25" s="81" t="s">
        <v>330</v>
      </c>
      <c r="F25" s="81"/>
      <c r="G25" s="81"/>
      <c r="H25" s="82"/>
      <c r="I25" s="3"/>
      <c r="J25" s="3"/>
      <c r="K25" s="3"/>
      <c r="L25" s="3"/>
      <c r="M25" s="3"/>
    </row>
    <row r="26" spans="1:13" ht="17" thickBot="1" x14ac:dyDescent="0.25">
      <c r="A26" s="70"/>
      <c r="B26" s="71"/>
      <c r="C26" s="71"/>
      <c r="D26" s="71"/>
      <c r="E26" s="71"/>
      <c r="F26" s="72"/>
      <c r="G26" s="72"/>
      <c r="H26" s="73"/>
      <c r="I26" s="3"/>
      <c r="J26" s="3"/>
      <c r="K26" s="3"/>
      <c r="L26" s="3"/>
      <c r="M26" s="3"/>
    </row>
    <row r="27" spans="1:13" x14ac:dyDescent="0.2">
      <c r="A27" s="88" t="s">
        <v>49</v>
      </c>
      <c r="B27" s="89"/>
      <c r="C27" s="89"/>
      <c r="D27" s="89"/>
      <c r="E27" s="89"/>
      <c r="F27" s="89"/>
      <c r="G27" s="89"/>
      <c r="H27" s="90"/>
      <c r="I27" s="3"/>
      <c r="J27" s="3"/>
      <c r="K27" s="3"/>
      <c r="L27" s="3"/>
      <c r="M27" s="3"/>
    </row>
    <row r="28" spans="1:13" x14ac:dyDescent="0.2">
      <c r="A28" s="74" t="s">
        <v>50</v>
      </c>
      <c r="B28" s="75">
        <f>B23/B24</f>
        <v>2</v>
      </c>
      <c r="C28" s="75" t="s">
        <v>51</v>
      </c>
      <c r="D28" s="75"/>
      <c r="E28" s="75" t="s">
        <v>38</v>
      </c>
      <c r="F28" s="75"/>
      <c r="G28" s="75"/>
      <c r="H28" s="76"/>
      <c r="I28" s="3"/>
      <c r="J28" s="3"/>
      <c r="K28" s="3"/>
      <c r="L28" s="3"/>
      <c r="M28" s="3"/>
    </row>
    <row r="29" spans="1:13" x14ac:dyDescent="0.2">
      <c r="A29" s="74" t="s">
        <v>52</v>
      </c>
      <c r="B29" s="75">
        <f>B28/B25</f>
        <v>2</v>
      </c>
      <c r="C29" s="75"/>
      <c r="D29" s="75"/>
      <c r="E29" s="75"/>
      <c r="F29" s="75"/>
      <c r="G29" s="75"/>
      <c r="H29" s="76"/>
      <c r="I29" s="3"/>
      <c r="J29" s="3"/>
      <c r="K29" s="3"/>
      <c r="L29" s="3"/>
      <c r="M29" s="3"/>
    </row>
    <row r="30" spans="1:13" x14ac:dyDescent="0.2">
      <c r="A30" s="74" t="s">
        <v>339</v>
      </c>
      <c r="B30" s="75">
        <f>B28/(2*B25)</f>
        <v>1</v>
      </c>
      <c r="C30" s="75"/>
      <c r="D30" s="75"/>
      <c r="E30" s="75"/>
      <c r="F30" s="75"/>
      <c r="G30" s="75"/>
      <c r="H30" s="76"/>
      <c r="I30" s="3"/>
      <c r="J30" s="3"/>
      <c r="K30" s="3"/>
      <c r="L30" s="3"/>
      <c r="M30" s="3"/>
    </row>
    <row r="31" spans="1:13" x14ac:dyDescent="0.2">
      <c r="A31" s="74" t="s">
        <v>340</v>
      </c>
      <c r="B31" s="75">
        <f>B21*B22/B23</f>
        <v>4</v>
      </c>
      <c r="C31" s="75" t="s">
        <v>341</v>
      </c>
      <c r="D31" s="75"/>
      <c r="E31" s="75"/>
      <c r="F31" s="75"/>
      <c r="G31" s="75"/>
      <c r="H31" s="76"/>
      <c r="I31" s="3"/>
      <c r="J31" s="3"/>
      <c r="K31" s="3"/>
      <c r="L31" s="3"/>
      <c r="M31" s="3"/>
    </row>
    <row r="32" spans="1:13" x14ac:dyDescent="0.2">
      <c r="A32" s="74" t="s">
        <v>342</v>
      </c>
      <c r="B32" s="75">
        <f>B21*B22/(2*B24*B28)</f>
        <v>2</v>
      </c>
      <c r="C32" s="75"/>
      <c r="D32" s="75"/>
      <c r="E32" s="75"/>
      <c r="F32" s="75"/>
      <c r="G32" s="75"/>
      <c r="H32" s="76"/>
      <c r="I32" s="3"/>
      <c r="J32" s="3"/>
      <c r="K32" s="3"/>
      <c r="L32" s="3"/>
      <c r="M32" s="3"/>
    </row>
    <row r="33" spans="1:13" ht="17" thickBot="1" x14ac:dyDescent="0.25">
      <c r="A33" s="77" t="s">
        <v>73</v>
      </c>
      <c r="B33" s="78" t="str">
        <f>CONCATENATE("Concentration profile at t= ",B40," (years) from beginning of injection ")</f>
        <v xml:space="preserve">Concentration profile at t= 10 (years) from beginning of injection </v>
      </c>
      <c r="C33" s="78"/>
      <c r="D33" s="78"/>
      <c r="E33" s="78"/>
      <c r="F33" s="78"/>
      <c r="G33" s="78"/>
      <c r="H33" s="79"/>
      <c r="I33" s="3"/>
      <c r="J33" s="3"/>
      <c r="K33" s="3"/>
      <c r="L33" s="3"/>
      <c r="M33" s="3"/>
    </row>
    <row r="34" spans="1:13" x14ac:dyDescent="0.2">
      <c r="G34" s="3"/>
      <c r="H34" s="3"/>
      <c r="I34" s="3"/>
      <c r="J34" s="3"/>
      <c r="K34" s="3"/>
      <c r="L34" s="3"/>
      <c r="M34" s="3"/>
    </row>
    <row r="35" spans="1:13" x14ac:dyDescent="0.2">
      <c r="G35" s="3"/>
      <c r="H35" s="3"/>
      <c r="I35" s="3"/>
      <c r="J35" s="3"/>
      <c r="K35" s="3"/>
      <c r="L35" s="3"/>
      <c r="M35" s="3"/>
    </row>
    <row r="36" spans="1:13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2">
      <c r="A37" s="3"/>
      <c r="B37" s="3"/>
      <c r="C37" s="4"/>
      <c r="D37" s="5"/>
      <c r="E37" s="5" t="s">
        <v>53</v>
      </c>
      <c r="F37" s="5"/>
      <c r="G37" s="5"/>
      <c r="H37" s="5"/>
      <c r="I37" s="5"/>
      <c r="J37" s="6"/>
      <c r="K37" s="6"/>
      <c r="L37" s="6"/>
      <c r="M37" s="3" t="s">
        <v>109</v>
      </c>
    </row>
    <row r="38" spans="1:13" x14ac:dyDescent="0.2">
      <c r="A38" s="3" t="s">
        <v>54</v>
      </c>
      <c r="B38" s="3"/>
      <c r="C38" s="7" t="s">
        <v>55</v>
      </c>
      <c r="D38" s="8" t="s">
        <v>56</v>
      </c>
      <c r="E38" s="8" t="s">
        <v>57</v>
      </c>
      <c r="F38" s="8" t="s">
        <v>58</v>
      </c>
      <c r="G38" s="8" t="s">
        <v>59</v>
      </c>
      <c r="H38" s="9" t="s">
        <v>60</v>
      </c>
      <c r="I38" s="9" t="s">
        <v>61</v>
      </c>
      <c r="J38" s="9" t="s">
        <v>110</v>
      </c>
      <c r="K38" s="19" t="s">
        <v>111</v>
      </c>
      <c r="L38" s="19" t="s">
        <v>112</v>
      </c>
      <c r="M38" s="10" t="s">
        <v>113</v>
      </c>
    </row>
    <row r="39" spans="1:13" ht="95" x14ac:dyDescent="0.2">
      <c r="A39" s="11" t="s">
        <v>62</v>
      </c>
      <c r="B39" s="11" t="s">
        <v>63</v>
      </c>
      <c r="C39" s="12" t="s">
        <v>343</v>
      </c>
      <c r="D39" s="13" t="s">
        <v>344</v>
      </c>
      <c r="E39" s="13" t="s">
        <v>66</v>
      </c>
      <c r="F39" s="13" t="s">
        <v>345</v>
      </c>
      <c r="G39" s="13" t="s">
        <v>346</v>
      </c>
      <c r="H39" s="13" t="s">
        <v>347</v>
      </c>
      <c r="I39" s="13" t="s">
        <v>348</v>
      </c>
      <c r="J39" s="14" t="s">
        <v>349</v>
      </c>
      <c r="K39" s="14" t="s">
        <v>350</v>
      </c>
      <c r="L39" s="14" t="s">
        <v>351</v>
      </c>
      <c r="M39" s="11" t="s">
        <v>70</v>
      </c>
    </row>
    <row r="40" spans="1:13" x14ac:dyDescent="0.2">
      <c r="A40" s="3">
        <v>-5</v>
      </c>
      <c r="B40" s="3">
        <v>10</v>
      </c>
      <c r="C40" s="3">
        <f t="shared" ref="C40:C71" si="0">ABS(A40)-$B$28*B40</f>
        <v>-15</v>
      </c>
      <c r="D40" s="3">
        <f t="shared" ref="D40:D71" si="1">ABS(A40)+$B$28*B40</f>
        <v>25</v>
      </c>
      <c r="E40" s="3">
        <f t="shared" ref="E40:E71" si="2">2*SQRT($B$25*B40)</f>
        <v>6.324555320336759</v>
      </c>
      <c r="F40" s="3">
        <f>C40/E40</f>
        <v>-2.3717082451262845</v>
      </c>
      <c r="G40" s="3">
        <f>D40/E40</f>
        <v>3.9528470752104741</v>
      </c>
      <c r="H40">
        <f>ERFC(F40)</f>
        <v>1.9992037698424092</v>
      </c>
      <c r="I40">
        <f>ERFC(G40)</f>
        <v>2.2684748592600856E-8</v>
      </c>
      <c r="J40">
        <f t="shared" ref="J40:J71" si="3">EXP(A40*$B$30)</f>
        <v>6.737946999085467E-3</v>
      </c>
      <c r="K40">
        <f t="shared" ref="K40:K71" si="4">EXP(-ABS(A40)*$B$30)</f>
        <v>6.737946999085467E-3</v>
      </c>
      <c r="L40">
        <f t="shared" ref="L40:L71" si="5">EXP(ABS(A40)*$B$30)</f>
        <v>148.4131591025766</v>
      </c>
      <c r="M40" s="3">
        <f t="shared" ref="M40:M71" si="6">$B$32*J40*(K40*H40-L40*I40)</f>
        <v>1.814820519662954E-4</v>
      </c>
    </row>
    <row r="41" spans="1:13" x14ac:dyDescent="0.2">
      <c r="A41" s="3">
        <v>-4</v>
      </c>
      <c r="B41" s="3">
        <f>B40</f>
        <v>10</v>
      </c>
      <c r="C41" s="3">
        <f t="shared" si="0"/>
        <v>-16</v>
      </c>
      <c r="D41" s="3">
        <f t="shared" si="1"/>
        <v>24</v>
      </c>
      <c r="E41" s="3">
        <f t="shared" si="2"/>
        <v>6.324555320336759</v>
      </c>
      <c r="F41" s="3">
        <f t="shared" ref="F41:F100" si="7">C41/E41</f>
        <v>-2.5298221281347035</v>
      </c>
      <c r="G41" s="3">
        <f t="shared" ref="G41:G100" si="8">D41/E41</f>
        <v>3.7947331922020551</v>
      </c>
      <c r="H41">
        <f t="shared" ref="H41:I100" si="9">ERFC(F41)</f>
        <v>1.9996533806488654</v>
      </c>
      <c r="I41">
        <f t="shared" si="9"/>
        <v>8.0251112669275954E-8</v>
      </c>
      <c r="J41">
        <f t="shared" si="3"/>
        <v>1.8315638888734179E-2</v>
      </c>
      <c r="K41">
        <f t="shared" si="4"/>
        <v>1.8315638888734179E-2</v>
      </c>
      <c r="L41">
        <f t="shared" si="5"/>
        <v>54.598150033144236</v>
      </c>
      <c r="M41" s="3">
        <f t="shared" si="6"/>
        <v>1.3414574537078817E-3</v>
      </c>
    </row>
    <row r="42" spans="1:13" x14ac:dyDescent="0.2">
      <c r="A42" s="3">
        <v>-3</v>
      </c>
      <c r="B42" s="3">
        <f t="shared" ref="B42:B100" si="10">B41</f>
        <v>10</v>
      </c>
      <c r="C42" s="3">
        <f t="shared" si="0"/>
        <v>-17</v>
      </c>
      <c r="D42" s="3">
        <f t="shared" si="1"/>
        <v>23</v>
      </c>
      <c r="E42" s="3">
        <f t="shared" si="2"/>
        <v>6.324555320336759</v>
      </c>
      <c r="F42" s="3">
        <f t="shared" si="7"/>
        <v>-2.6879360111431221</v>
      </c>
      <c r="G42" s="3">
        <f t="shared" si="8"/>
        <v>3.6366193091936361</v>
      </c>
      <c r="H42">
        <f t="shared" si="9"/>
        <v>1.9998560701435029</v>
      </c>
      <c r="I42">
        <f t="shared" si="9"/>
        <v>2.7044847886335556E-7</v>
      </c>
      <c r="J42">
        <f t="shared" si="3"/>
        <v>4.9787068367863944E-2</v>
      </c>
      <c r="K42">
        <f t="shared" si="4"/>
        <v>4.9787068367863944E-2</v>
      </c>
      <c r="L42">
        <f t="shared" si="5"/>
        <v>20.085536923187668</v>
      </c>
      <c r="M42" s="3">
        <f t="shared" si="6"/>
        <v>9.9137542768175484E-3</v>
      </c>
    </row>
    <row r="43" spans="1:13" x14ac:dyDescent="0.2">
      <c r="A43" s="3">
        <v>-2</v>
      </c>
      <c r="B43" s="3">
        <f t="shared" si="10"/>
        <v>10</v>
      </c>
      <c r="C43" s="3">
        <f t="shared" si="0"/>
        <v>-18</v>
      </c>
      <c r="D43" s="3">
        <f t="shared" si="1"/>
        <v>22</v>
      </c>
      <c r="E43" s="3">
        <f t="shared" si="2"/>
        <v>6.324555320336759</v>
      </c>
      <c r="F43" s="3">
        <f t="shared" si="7"/>
        <v>-2.8460498941515411</v>
      </c>
      <c r="G43" s="3">
        <f t="shared" si="8"/>
        <v>3.4785054261852171</v>
      </c>
      <c r="H43">
        <f t="shared" si="9"/>
        <v>1.9999430058837666</v>
      </c>
      <c r="I43">
        <f t="shared" si="9"/>
        <v>8.6832280854547149E-7</v>
      </c>
      <c r="J43">
        <f t="shared" si="3"/>
        <v>0.1353352832366127</v>
      </c>
      <c r="K43">
        <f t="shared" si="4"/>
        <v>0.1353352832366127</v>
      </c>
      <c r="L43">
        <f t="shared" si="5"/>
        <v>7.3890560989306504</v>
      </c>
      <c r="M43" s="3">
        <f t="shared" si="6"/>
        <v>7.3258731142016212E-2</v>
      </c>
    </row>
    <row r="44" spans="1:13" x14ac:dyDescent="0.2">
      <c r="A44" s="3">
        <v>-1</v>
      </c>
      <c r="B44" s="3">
        <f t="shared" si="10"/>
        <v>10</v>
      </c>
      <c r="C44" s="3">
        <f t="shared" si="0"/>
        <v>-19</v>
      </c>
      <c r="D44" s="3">
        <f t="shared" si="1"/>
        <v>21</v>
      </c>
      <c r="E44" s="3">
        <f t="shared" si="2"/>
        <v>6.324555320336759</v>
      </c>
      <c r="F44" s="3">
        <f t="shared" si="7"/>
        <v>-3.0041637771599601</v>
      </c>
      <c r="G44" s="3">
        <f t="shared" si="8"/>
        <v>3.3203915431767981</v>
      </c>
      <c r="H44">
        <f t="shared" si="9"/>
        <v>1.9999784821356219</v>
      </c>
      <c r="I44">
        <f t="shared" si="9"/>
        <v>2.6563968243191819E-6</v>
      </c>
      <c r="J44">
        <f t="shared" si="3"/>
        <v>0.36787944117144233</v>
      </c>
      <c r="K44">
        <f t="shared" si="4"/>
        <v>0.36787944117144233</v>
      </c>
      <c r="L44">
        <f t="shared" si="5"/>
        <v>2.7182818284590451</v>
      </c>
      <c r="M44" s="3">
        <f t="shared" si="6"/>
        <v>0.54132999590026154</v>
      </c>
    </row>
    <row r="45" spans="1:13" x14ac:dyDescent="0.2">
      <c r="A45" s="3">
        <v>0</v>
      </c>
      <c r="B45" s="3">
        <f t="shared" si="10"/>
        <v>10</v>
      </c>
      <c r="C45" s="3">
        <f t="shared" si="0"/>
        <v>-20</v>
      </c>
      <c r="D45" s="3">
        <f t="shared" si="1"/>
        <v>20</v>
      </c>
      <c r="E45" s="3">
        <f t="shared" si="2"/>
        <v>6.324555320336759</v>
      </c>
      <c r="F45" s="3">
        <f t="shared" si="7"/>
        <v>-3.1622776601683791</v>
      </c>
      <c r="G45" s="3">
        <f t="shared" si="8"/>
        <v>3.1622776601683791</v>
      </c>
      <c r="H45">
        <f t="shared" si="9"/>
        <v>1.999992255783569</v>
      </c>
      <c r="I45">
        <f t="shared" si="9"/>
        <v>7.7442164310440977E-6</v>
      </c>
      <c r="J45">
        <f t="shared" si="3"/>
        <v>1</v>
      </c>
      <c r="K45">
        <f t="shared" si="4"/>
        <v>1</v>
      </c>
      <c r="L45">
        <f t="shared" si="5"/>
        <v>1</v>
      </c>
      <c r="M45" s="3">
        <f t="shared" si="6"/>
        <v>3.9999690231342759</v>
      </c>
    </row>
    <row r="46" spans="1:13" x14ac:dyDescent="0.2">
      <c r="A46" s="3">
        <v>1</v>
      </c>
      <c r="B46" s="3">
        <f t="shared" si="10"/>
        <v>10</v>
      </c>
      <c r="C46" s="3">
        <f t="shared" si="0"/>
        <v>-19</v>
      </c>
      <c r="D46" s="3">
        <f t="shared" si="1"/>
        <v>21</v>
      </c>
      <c r="E46" s="3">
        <f t="shared" si="2"/>
        <v>6.324555320336759</v>
      </c>
      <c r="F46" s="3">
        <f t="shared" si="7"/>
        <v>-3.0041637771599601</v>
      </c>
      <c r="G46" s="3">
        <f t="shared" si="8"/>
        <v>3.3203915431767981</v>
      </c>
      <c r="H46">
        <f t="shared" si="9"/>
        <v>1.9999784821356219</v>
      </c>
      <c r="I46">
        <f t="shared" si="9"/>
        <v>2.6563968243191819E-6</v>
      </c>
      <c r="J46">
        <f t="shared" si="3"/>
        <v>2.7182818284590451</v>
      </c>
      <c r="K46">
        <f t="shared" si="4"/>
        <v>0.36787944117144233</v>
      </c>
      <c r="L46">
        <f t="shared" si="5"/>
        <v>2.7182818284590451</v>
      </c>
      <c r="M46" s="3">
        <f t="shared" si="6"/>
        <v>3.9999177077409316</v>
      </c>
    </row>
    <row r="47" spans="1:13" x14ac:dyDescent="0.2">
      <c r="A47" s="3">
        <v>2</v>
      </c>
      <c r="B47" s="3">
        <f t="shared" si="10"/>
        <v>10</v>
      </c>
      <c r="C47" s="3">
        <f t="shared" si="0"/>
        <v>-18</v>
      </c>
      <c r="D47" s="3">
        <f t="shared" si="1"/>
        <v>22</v>
      </c>
      <c r="E47" s="3">
        <f t="shared" si="2"/>
        <v>6.324555320336759</v>
      </c>
      <c r="F47" s="3">
        <f t="shared" si="7"/>
        <v>-2.8460498941515411</v>
      </c>
      <c r="G47" s="3">
        <f t="shared" si="8"/>
        <v>3.4785054261852171</v>
      </c>
      <c r="H47">
        <f t="shared" si="9"/>
        <v>1.9999430058837666</v>
      </c>
      <c r="I47">
        <f t="shared" si="9"/>
        <v>8.6832280854547149E-7</v>
      </c>
      <c r="J47">
        <f t="shared" si="3"/>
        <v>7.3890560989306504</v>
      </c>
      <c r="K47">
        <f t="shared" si="4"/>
        <v>0.1353352832366127</v>
      </c>
      <c r="L47">
        <f t="shared" si="5"/>
        <v>7.3890560989306504</v>
      </c>
      <c r="M47" s="3">
        <f t="shared" si="6"/>
        <v>3.9997911941295774</v>
      </c>
    </row>
    <row r="48" spans="1:13" x14ac:dyDescent="0.2">
      <c r="A48" s="3">
        <v>3</v>
      </c>
      <c r="B48" s="3">
        <f t="shared" si="10"/>
        <v>10</v>
      </c>
      <c r="C48" s="3">
        <f t="shared" si="0"/>
        <v>-17</v>
      </c>
      <c r="D48" s="3">
        <f t="shared" si="1"/>
        <v>23</v>
      </c>
      <c r="E48" s="3">
        <f t="shared" si="2"/>
        <v>6.324555320336759</v>
      </c>
      <c r="F48" s="3">
        <f t="shared" si="7"/>
        <v>-2.6879360111431221</v>
      </c>
      <c r="G48" s="3">
        <f t="shared" si="8"/>
        <v>3.6366193091936361</v>
      </c>
      <c r="H48">
        <f t="shared" si="9"/>
        <v>1.9998560701435029</v>
      </c>
      <c r="I48">
        <f t="shared" si="9"/>
        <v>2.7044847886335556E-7</v>
      </c>
      <c r="J48">
        <f t="shared" si="3"/>
        <v>20.085536923187668</v>
      </c>
      <c r="K48">
        <f t="shared" si="4"/>
        <v>4.9787068367863944E-2</v>
      </c>
      <c r="L48">
        <f t="shared" si="5"/>
        <v>20.085536923187668</v>
      </c>
      <c r="M48" s="3">
        <f t="shared" si="6"/>
        <v>3.9994939268799463</v>
      </c>
    </row>
    <row r="49" spans="1:13" x14ac:dyDescent="0.2">
      <c r="A49" s="3">
        <v>4</v>
      </c>
      <c r="B49" s="3">
        <f t="shared" si="10"/>
        <v>10</v>
      </c>
      <c r="C49" s="3">
        <f t="shared" si="0"/>
        <v>-16</v>
      </c>
      <c r="D49" s="3">
        <f t="shared" si="1"/>
        <v>24</v>
      </c>
      <c r="E49" s="3">
        <f t="shared" si="2"/>
        <v>6.324555320336759</v>
      </c>
      <c r="F49" s="3">
        <f t="shared" si="7"/>
        <v>-2.5298221281347035</v>
      </c>
      <c r="G49" s="3">
        <f t="shared" si="8"/>
        <v>3.7947331922020551</v>
      </c>
      <c r="H49">
        <f t="shared" si="9"/>
        <v>1.9996533806488654</v>
      </c>
      <c r="I49">
        <f t="shared" si="9"/>
        <v>8.0251112669275954E-8</v>
      </c>
      <c r="J49">
        <f t="shared" si="3"/>
        <v>54.598150033144236</v>
      </c>
      <c r="K49">
        <f t="shared" si="4"/>
        <v>1.8315638888734179E-2</v>
      </c>
      <c r="L49">
        <f t="shared" si="5"/>
        <v>54.598150033144236</v>
      </c>
      <c r="M49" s="3">
        <f t="shared" si="6"/>
        <v>3.9988283109071698</v>
      </c>
    </row>
    <row r="50" spans="1:13" x14ac:dyDescent="0.2">
      <c r="A50" s="3">
        <v>5</v>
      </c>
      <c r="B50" s="3">
        <f t="shared" si="10"/>
        <v>10</v>
      </c>
      <c r="C50" s="3">
        <f t="shared" si="0"/>
        <v>-15</v>
      </c>
      <c r="D50" s="3">
        <f t="shared" si="1"/>
        <v>25</v>
      </c>
      <c r="E50" s="3">
        <f t="shared" si="2"/>
        <v>6.324555320336759</v>
      </c>
      <c r="F50" s="3">
        <f t="shared" si="7"/>
        <v>-2.3717082451262845</v>
      </c>
      <c r="G50" s="3">
        <f t="shared" si="8"/>
        <v>3.9528470752104741</v>
      </c>
      <c r="H50">
        <f t="shared" si="9"/>
        <v>1.9992037698424092</v>
      </c>
      <c r="I50">
        <f t="shared" si="9"/>
        <v>2.2684748592600856E-8</v>
      </c>
      <c r="J50">
        <f t="shared" si="3"/>
        <v>148.4131591025766</v>
      </c>
      <c r="K50">
        <f t="shared" si="4"/>
        <v>6.737946999085467E-3</v>
      </c>
      <c r="L50">
        <f t="shared" si="5"/>
        <v>148.4131591025766</v>
      </c>
      <c r="M50" s="3">
        <f t="shared" si="6"/>
        <v>3.9974082100069408</v>
      </c>
    </row>
    <row r="51" spans="1:13" x14ac:dyDescent="0.2">
      <c r="A51" s="3">
        <v>6</v>
      </c>
      <c r="B51" s="3">
        <f t="shared" si="10"/>
        <v>10</v>
      </c>
      <c r="C51" s="3">
        <f t="shared" si="0"/>
        <v>-14</v>
      </c>
      <c r="D51" s="3">
        <f t="shared" si="1"/>
        <v>26</v>
      </c>
      <c r="E51" s="3">
        <f t="shared" si="2"/>
        <v>6.324555320336759</v>
      </c>
      <c r="F51" s="3">
        <f t="shared" si="7"/>
        <v>-2.2135943621178655</v>
      </c>
      <c r="G51" s="3">
        <f t="shared" si="8"/>
        <v>4.1109609582188931</v>
      </c>
      <c r="H51">
        <f t="shared" si="9"/>
        <v>1.998254881300471</v>
      </c>
      <c r="I51">
        <f t="shared" si="9"/>
        <v>6.1078863597094942E-9</v>
      </c>
      <c r="J51">
        <f t="shared" si="3"/>
        <v>403.42879349273511</v>
      </c>
      <c r="K51">
        <f t="shared" si="4"/>
        <v>2.4787521766663585E-3</v>
      </c>
      <c r="L51">
        <f t="shared" si="5"/>
        <v>403.42879349273511</v>
      </c>
      <c r="M51" s="3">
        <f t="shared" si="6"/>
        <v>3.9945215870599711</v>
      </c>
    </row>
    <row r="52" spans="1:13" x14ac:dyDescent="0.2">
      <c r="A52" s="3">
        <v>7</v>
      </c>
      <c r="B52" s="3">
        <f t="shared" si="10"/>
        <v>10</v>
      </c>
      <c r="C52" s="3">
        <f t="shared" si="0"/>
        <v>-13</v>
      </c>
      <c r="D52" s="3">
        <f t="shared" si="1"/>
        <v>27</v>
      </c>
      <c r="E52" s="3">
        <f t="shared" si="2"/>
        <v>6.324555320336759</v>
      </c>
      <c r="F52" s="3">
        <f t="shared" si="7"/>
        <v>-2.0554804791094465</v>
      </c>
      <c r="G52" s="3">
        <f t="shared" si="8"/>
        <v>4.2690748412273116</v>
      </c>
      <c r="H52">
        <f t="shared" si="9"/>
        <v>1.9963495655955581</v>
      </c>
      <c r="I52">
        <f t="shared" si="9"/>
        <v>1.5663312921022304E-9</v>
      </c>
      <c r="J52">
        <f t="shared" si="3"/>
        <v>1096.6331584284585</v>
      </c>
      <c r="K52">
        <f t="shared" si="4"/>
        <v>9.1188196555451624E-4</v>
      </c>
      <c r="L52">
        <f t="shared" si="5"/>
        <v>1096.6331584284585</v>
      </c>
      <c r="M52" s="3">
        <f t="shared" si="6"/>
        <v>3.988931777746509</v>
      </c>
    </row>
    <row r="53" spans="1:13" x14ac:dyDescent="0.2">
      <c r="A53" s="3">
        <v>8</v>
      </c>
      <c r="B53" s="3">
        <f t="shared" si="10"/>
        <v>10</v>
      </c>
      <c r="C53" s="3">
        <f t="shared" si="0"/>
        <v>-12</v>
      </c>
      <c r="D53" s="3">
        <f t="shared" si="1"/>
        <v>28</v>
      </c>
      <c r="E53" s="3">
        <f t="shared" si="2"/>
        <v>6.324555320336759</v>
      </c>
      <c r="F53" s="3">
        <f t="shared" si="7"/>
        <v>-1.8973665961010275</v>
      </c>
      <c r="G53" s="3">
        <f t="shared" si="8"/>
        <v>4.4271887242357311</v>
      </c>
      <c r="H53">
        <f t="shared" si="9"/>
        <v>1.9927096419084644</v>
      </c>
      <c r="I53">
        <f t="shared" si="9"/>
        <v>3.8254023259386252E-10</v>
      </c>
      <c r="J53">
        <f t="shared" si="3"/>
        <v>2980.9579870417283</v>
      </c>
      <c r="K53">
        <f t="shared" si="4"/>
        <v>3.3546262790251185E-4</v>
      </c>
      <c r="L53">
        <f t="shared" si="5"/>
        <v>2980.9579870417283</v>
      </c>
      <c r="M53" s="3">
        <f t="shared" si="6"/>
        <v>3.9786206942461897</v>
      </c>
    </row>
    <row r="54" spans="1:13" x14ac:dyDescent="0.2">
      <c r="A54" s="3">
        <v>9</v>
      </c>
      <c r="B54" s="3">
        <f t="shared" si="10"/>
        <v>10</v>
      </c>
      <c r="C54" s="3">
        <f t="shared" si="0"/>
        <v>-11</v>
      </c>
      <c r="D54" s="3">
        <f t="shared" si="1"/>
        <v>29</v>
      </c>
      <c r="E54" s="3">
        <f t="shared" si="2"/>
        <v>6.324555320336759</v>
      </c>
      <c r="F54" s="3">
        <f t="shared" si="7"/>
        <v>-1.7392527130926085</v>
      </c>
      <c r="G54" s="3">
        <f t="shared" si="8"/>
        <v>4.5853026072441496</v>
      </c>
      <c r="H54">
        <f t="shared" si="9"/>
        <v>1.9860937031046539</v>
      </c>
      <c r="I54">
        <f t="shared" si="9"/>
        <v>8.8969190918391003E-11</v>
      </c>
      <c r="J54">
        <f t="shared" si="3"/>
        <v>8103.0839275753842</v>
      </c>
      <c r="K54">
        <f t="shared" si="4"/>
        <v>1.2340980408667956E-4</v>
      </c>
      <c r="L54">
        <f t="shared" si="5"/>
        <v>8103.0839275753842</v>
      </c>
      <c r="M54" s="3">
        <f t="shared" si="6"/>
        <v>3.9605039775495583</v>
      </c>
    </row>
    <row r="55" spans="1:13" x14ac:dyDescent="0.2">
      <c r="A55" s="3">
        <v>10</v>
      </c>
      <c r="B55" s="3">
        <f t="shared" si="10"/>
        <v>10</v>
      </c>
      <c r="C55" s="3">
        <f t="shared" si="0"/>
        <v>-10</v>
      </c>
      <c r="D55" s="3">
        <f t="shared" si="1"/>
        <v>30</v>
      </c>
      <c r="E55" s="3">
        <f t="shared" si="2"/>
        <v>6.324555320336759</v>
      </c>
      <c r="F55" s="3">
        <f t="shared" si="7"/>
        <v>-1.5811388300841895</v>
      </c>
      <c r="G55" s="3">
        <f t="shared" si="8"/>
        <v>4.7434164902525691</v>
      </c>
      <c r="H55">
        <f t="shared" si="9"/>
        <v>1.9746526813225318</v>
      </c>
      <c r="I55">
        <f t="shared" si="9"/>
        <v>1.9703444711799161E-11</v>
      </c>
      <c r="J55">
        <f t="shared" si="3"/>
        <v>22026.465794806718</v>
      </c>
      <c r="K55">
        <f t="shared" si="4"/>
        <v>4.5399929762484854E-5</v>
      </c>
      <c r="L55">
        <f t="shared" si="5"/>
        <v>22026.465794806718</v>
      </c>
      <c r="M55" s="3">
        <f t="shared" si="6"/>
        <v>3.930186511437372</v>
      </c>
    </row>
    <row r="56" spans="1:13" x14ac:dyDescent="0.2">
      <c r="A56" s="3">
        <v>11</v>
      </c>
      <c r="B56" s="3">
        <f t="shared" si="10"/>
        <v>10</v>
      </c>
      <c r="C56" s="3">
        <f t="shared" si="0"/>
        <v>-9</v>
      </c>
      <c r="D56" s="3">
        <f t="shared" si="1"/>
        <v>31</v>
      </c>
      <c r="E56" s="3">
        <f t="shared" si="2"/>
        <v>6.324555320336759</v>
      </c>
      <c r="F56" s="3">
        <f t="shared" si="7"/>
        <v>-1.4230249470757705</v>
      </c>
      <c r="G56" s="3">
        <f t="shared" si="8"/>
        <v>4.9015303732609876</v>
      </c>
      <c r="H56">
        <f t="shared" si="9"/>
        <v>1.9558286550915573</v>
      </c>
      <c r="I56">
        <f t="shared" si="9"/>
        <v>4.1548762266523793E-12</v>
      </c>
      <c r="J56">
        <f t="shared" si="3"/>
        <v>59874.141715197817</v>
      </c>
      <c r="K56">
        <f t="shared" si="4"/>
        <v>1.6701700790245659E-5</v>
      </c>
      <c r="L56">
        <f t="shared" si="5"/>
        <v>59874.141715197817</v>
      </c>
      <c r="M56" s="3">
        <f t="shared" si="6"/>
        <v>3.8818675718650892</v>
      </c>
    </row>
    <row r="57" spans="1:13" x14ac:dyDescent="0.2">
      <c r="A57" s="3">
        <v>12</v>
      </c>
      <c r="B57" s="3">
        <f t="shared" si="10"/>
        <v>10</v>
      </c>
      <c r="C57" s="3">
        <f t="shared" si="0"/>
        <v>-8</v>
      </c>
      <c r="D57" s="3">
        <f t="shared" si="1"/>
        <v>32</v>
      </c>
      <c r="E57" s="3">
        <f t="shared" si="2"/>
        <v>6.324555320336759</v>
      </c>
      <c r="F57" s="3">
        <f t="shared" si="7"/>
        <v>-1.2649110640673518</v>
      </c>
      <c r="G57" s="3">
        <f t="shared" si="8"/>
        <v>5.0596442562694071</v>
      </c>
      <c r="H57">
        <f t="shared" si="9"/>
        <v>1.9263617298796973</v>
      </c>
      <c r="I57">
        <f t="shared" si="9"/>
        <v>8.3418628478912555E-13</v>
      </c>
      <c r="J57">
        <f t="shared" si="3"/>
        <v>162754.79141900392</v>
      </c>
      <c r="K57">
        <f t="shared" si="4"/>
        <v>6.1442123533282098E-6</v>
      </c>
      <c r="L57">
        <f t="shared" si="5"/>
        <v>162754.79141900392</v>
      </c>
      <c r="M57" s="3">
        <f t="shared" si="6"/>
        <v>3.808529735005755</v>
      </c>
    </row>
    <row r="58" spans="1:13" x14ac:dyDescent="0.2">
      <c r="A58" s="3">
        <v>13</v>
      </c>
      <c r="B58" s="3">
        <f t="shared" si="10"/>
        <v>10</v>
      </c>
      <c r="C58" s="3">
        <f t="shared" si="0"/>
        <v>-7</v>
      </c>
      <c r="D58" s="3">
        <f t="shared" si="1"/>
        <v>33</v>
      </c>
      <c r="E58" s="3">
        <f t="shared" si="2"/>
        <v>6.324555320336759</v>
      </c>
      <c r="F58" s="3">
        <f t="shared" si="7"/>
        <v>-1.1067971810589328</v>
      </c>
      <c r="G58" s="3">
        <f t="shared" si="8"/>
        <v>5.2177581392778256</v>
      </c>
      <c r="H58">
        <f t="shared" si="9"/>
        <v>1.8824751319033608</v>
      </c>
      <c r="I58">
        <f t="shared" si="9"/>
        <v>1.5945369908213889E-13</v>
      </c>
      <c r="J58">
        <f t="shared" si="3"/>
        <v>442413.39200892049</v>
      </c>
      <c r="K58">
        <f t="shared" si="4"/>
        <v>2.2603294069810542E-6</v>
      </c>
      <c r="L58">
        <f t="shared" si="5"/>
        <v>442413.39200892049</v>
      </c>
      <c r="M58" s="3">
        <f t="shared" si="6"/>
        <v>3.7025306433200602</v>
      </c>
    </row>
    <row r="59" spans="1:13" x14ac:dyDescent="0.2">
      <c r="A59" s="3">
        <v>14</v>
      </c>
      <c r="B59" s="3">
        <f t="shared" si="10"/>
        <v>10</v>
      </c>
      <c r="C59" s="3">
        <f t="shared" si="0"/>
        <v>-6</v>
      </c>
      <c r="D59" s="3">
        <f t="shared" si="1"/>
        <v>34</v>
      </c>
      <c r="E59" s="3">
        <f t="shared" si="2"/>
        <v>6.324555320336759</v>
      </c>
      <c r="F59" s="3">
        <f t="shared" si="7"/>
        <v>-0.94868329805051377</v>
      </c>
      <c r="G59" s="3">
        <f t="shared" si="8"/>
        <v>5.3758720222862442</v>
      </c>
      <c r="H59">
        <f t="shared" si="9"/>
        <v>1.8202875051210001</v>
      </c>
      <c r="I59">
        <f t="shared" si="9"/>
        <v>2.9016972125628953E-14</v>
      </c>
      <c r="J59">
        <f t="shared" si="3"/>
        <v>1202604.2841647768</v>
      </c>
      <c r="K59">
        <f t="shared" si="4"/>
        <v>8.3152871910356788E-7</v>
      </c>
      <c r="L59">
        <f t="shared" si="5"/>
        <v>1202604.2841647768</v>
      </c>
      <c r="M59" s="3">
        <f t="shared" si="6"/>
        <v>3.5566430083999205</v>
      </c>
    </row>
    <row r="60" spans="1:13" x14ac:dyDescent="0.2">
      <c r="A60" s="3">
        <v>15</v>
      </c>
      <c r="B60" s="3">
        <f t="shared" si="10"/>
        <v>10</v>
      </c>
      <c r="C60" s="3">
        <f t="shared" si="0"/>
        <v>-5</v>
      </c>
      <c r="D60" s="3">
        <f t="shared" si="1"/>
        <v>35</v>
      </c>
      <c r="E60" s="3">
        <f t="shared" si="2"/>
        <v>6.324555320336759</v>
      </c>
      <c r="F60" s="3">
        <f t="shared" si="7"/>
        <v>-0.79056941504209477</v>
      </c>
      <c r="G60" s="3">
        <f t="shared" si="8"/>
        <v>5.5339859052946636</v>
      </c>
      <c r="H60">
        <f t="shared" si="9"/>
        <v>1.7364475227170273</v>
      </c>
      <c r="I60">
        <f t="shared" si="9"/>
        <v>5.0268561537410668E-15</v>
      </c>
      <c r="J60">
        <f t="shared" si="3"/>
        <v>3269017.3724721107</v>
      </c>
      <c r="K60">
        <f t="shared" si="4"/>
        <v>3.0590232050182579E-7</v>
      </c>
      <c r="L60">
        <f t="shared" si="5"/>
        <v>3269017.3724721107</v>
      </c>
      <c r="M60" s="3">
        <f t="shared" si="6"/>
        <v>3.3654563044101868</v>
      </c>
    </row>
    <row r="61" spans="1:13" x14ac:dyDescent="0.2">
      <c r="A61" s="3">
        <v>16</v>
      </c>
      <c r="B61" s="3">
        <f t="shared" si="10"/>
        <v>10</v>
      </c>
      <c r="C61" s="3">
        <f t="shared" si="0"/>
        <v>-4</v>
      </c>
      <c r="D61" s="3">
        <f t="shared" si="1"/>
        <v>36</v>
      </c>
      <c r="E61" s="3">
        <f t="shared" si="2"/>
        <v>6.324555320336759</v>
      </c>
      <c r="F61" s="3">
        <f t="shared" si="7"/>
        <v>-0.63245553203367588</v>
      </c>
      <c r="G61" s="3">
        <f t="shared" si="8"/>
        <v>5.6920997883030822</v>
      </c>
      <c r="H61">
        <f t="shared" si="9"/>
        <v>1.6289066304773023</v>
      </c>
      <c r="I61">
        <f t="shared" si="9"/>
        <v>8.289914674372342E-16</v>
      </c>
      <c r="J61">
        <f t="shared" si="3"/>
        <v>8886110.5205078721</v>
      </c>
      <c r="K61">
        <f t="shared" si="4"/>
        <v>1.1253517471925912E-7</v>
      </c>
      <c r="L61">
        <f t="shared" si="5"/>
        <v>8886110.5205078721</v>
      </c>
      <c r="M61" s="3">
        <f t="shared" si="6"/>
        <v>3.1268940204845479</v>
      </c>
    </row>
    <row r="62" spans="1:13" x14ac:dyDescent="0.2">
      <c r="A62" s="3">
        <v>17</v>
      </c>
      <c r="B62" s="3">
        <f t="shared" si="10"/>
        <v>10</v>
      </c>
      <c r="C62" s="3">
        <f t="shared" si="0"/>
        <v>-3</v>
      </c>
      <c r="D62" s="3">
        <f t="shared" si="1"/>
        <v>37</v>
      </c>
      <c r="E62" s="3">
        <f t="shared" si="2"/>
        <v>6.324555320336759</v>
      </c>
      <c r="F62" s="3">
        <f t="shared" si="7"/>
        <v>-0.47434164902525688</v>
      </c>
      <c r="G62" s="3">
        <f t="shared" si="8"/>
        <v>5.8502136713115016</v>
      </c>
      <c r="H62">
        <f t="shared" si="9"/>
        <v>1.497665045639498</v>
      </c>
      <c r="I62">
        <f t="shared" si="9"/>
        <v>1.301357335556799E-16</v>
      </c>
      <c r="J62">
        <f t="shared" si="3"/>
        <v>24154952.753575299</v>
      </c>
      <c r="K62">
        <f t="shared" si="4"/>
        <v>4.1399377187851668E-8</v>
      </c>
      <c r="L62">
        <f t="shared" si="5"/>
        <v>24154952.753575299</v>
      </c>
      <c r="M62" s="3">
        <f t="shared" si="6"/>
        <v>2.8434716475480251</v>
      </c>
    </row>
    <row r="63" spans="1:13" x14ac:dyDescent="0.2">
      <c r="A63" s="3">
        <v>18</v>
      </c>
      <c r="B63" s="3">
        <f t="shared" si="10"/>
        <v>10</v>
      </c>
      <c r="C63" s="3">
        <f t="shared" si="0"/>
        <v>-2</v>
      </c>
      <c r="D63" s="3">
        <f t="shared" si="1"/>
        <v>38</v>
      </c>
      <c r="E63" s="3">
        <f t="shared" si="2"/>
        <v>6.324555320336759</v>
      </c>
      <c r="F63" s="3">
        <f t="shared" si="7"/>
        <v>-0.31622776601683794</v>
      </c>
      <c r="G63" s="3">
        <f t="shared" si="8"/>
        <v>6.0083275543199202</v>
      </c>
      <c r="H63">
        <f t="shared" si="9"/>
        <v>1.3452791539814228</v>
      </c>
      <c r="I63">
        <f t="shared" si="9"/>
        <v>1.9445575919781752E-17</v>
      </c>
      <c r="J63">
        <f t="shared" si="3"/>
        <v>65659969.13733051</v>
      </c>
      <c r="K63">
        <f t="shared" si="4"/>
        <v>1.5229979744712629E-8</v>
      </c>
      <c r="L63">
        <f t="shared" si="5"/>
        <v>65659969.13733051</v>
      </c>
      <c r="M63" s="3">
        <f t="shared" si="6"/>
        <v>2.522889547248472</v>
      </c>
    </row>
    <row r="64" spans="1:13" x14ac:dyDescent="0.2">
      <c r="A64" s="3">
        <v>19</v>
      </c>
      <c r="B64" s="3">
        <f t="shared" si="10"/>
        <v>10</v>
      </c>
      <c r="C64" s="3">
        <f t="shared" si="0"/>
        <v>-1</v>
      </c>
      <c r="D64" s="3">
        <f t="shared" si="1"/>
        <v>39</v>
      </c>
      <c r="E64" s="3">
        <f t="shared" si="2"/>
        <v>6.324555320336759</v>
      </c>
      <c r="F64" s="3">
        <f t="shared" si="7"/>
        <v>-0.15811388300841897</v>
      </c>
      <c r="G64" s="3">
        <f t="shared" si="8"/>
        <v>6.1664414373283396</v>
      </c>
      <c r="H64">
        <f t="shared" si="9"/>
        <v>1.1769367262418786</v>
      </c>
      <c r="I64">
        <f t="shared" si="9"/>
        <v>2.7657231621518048E-18</v>
      </c>
      <c r="J64">
        <f t="shared" si="3"/>
        <v>178482300.96318725</v>
      </c>
      <c r="K64">
        <f t="shared" si="4"/>
        <v>5.6027964375372678E-9</v>
      </c>
      <c r="L64">
        <f t="shared" si="5"/>
        <v>178482300.96318725</v>
      </c>
      <c r="M64" s="3">
        <f t="shared" si="6"/>
        <v>2.1776640758586039</v>
      </c>
    </row>
    <row r="65" spans="1:13" x14ac:dyDescent="0.2">
      <c r="A65" s="3">
        <v>20</v>
      </c>
      <c r="B65" s="3">
        <f t="shared" si="10"/>
        <v>10</v>
      </c>
      <c r="C65" s="3">
        <f t="shared" si="0"/>
        <v>0</v>
      </c>
      <c r="D65" s="3">
        <f t="shared" si="1"/>
        <v>40</v>
      </c>
      <c r="E65" s="3">
        <f t="shared" si="2"/>
        <v>6.324555320336759</v>
      </c>
      <c r="F65" s="3">
        <f t="shared" si="7"/>
        <v>0</v>
      </c>
      <c r="G65" s="3">
        <f t="shared" si="8"/>
        <v>6.3245553203367582</v>
      </c>
      <c r="H65">
        <f t="shared" si="9"/>
        <v>1</v>
      </c>
      <c r="I65">
        <f t="shared" si="9"/>
        <v>3.7440973842029268E-19</v>
      </c>
      <c r="J65">
        <f t="shared" si="3"/>
        <v>485165195.40979028</v>
      </c>
      <c r="K65">
        <f t="shared" si="4"/>
        <v>2.0611536224385579E-9</v>
      </c>
      <c r="L65">
        <f t="shared" si="5"/>
        <v>485165195.40979028</v>
      </c>
      <c r="M65" s="3">
        <f t="shared" si="6"/>
        <v>1.8237389276311209</v>
      </c>
    </row>
    <row r="66" spans="1:13" x14ac:dyDescent="0.2">
      <c r="A66" s="3">
        <v>21</v>
      </c>
      <c r="B66" s="3">
        <f t="shared" si="10"/>
        <v>10</v>
      </c>
      <c r="C66" s="3">
        <f t="shared" si="0"/>
        <v>1</v>
      </c>
      <c r="D66" s="3">
        <f t="shared" si="1"/>
        <v>41</v>
      </c>
      <c r="E66" s="3">
        <f t="shared" si="2"/>
        <v>6.324555320336759</v>
      </c>
      <c r="F66" s="3">
        <f t="shared" si="7"/>
        <v>0.15811388300841897</v>
      </c>
      <c r="G66" s="3">
        <f t="shared" si="8"/>
        <v>6.4826692033451776</v>
      </c>
      <c r="H66">
        <f t="shared" si="9"/>
        <v>0.82306327375812149</v>
      </c>
      <c r="I66">
        <f t="shared" si="9"/>
        <v>4.824184038035791E-20</v>
      </c>
      <c r="J66">
        <f t="shared" si="3"/>
        <v>1318815734.4832146</v>
      </c>
      <c r="K66">
        <f t="shared" si="4"/>
        <v>7.5825604279119066E-10</v>
      </c>
      <c r="L66">
        <f t="shared" si="5"/>
        <v>1318815734.4832146</v>
      </c>
      <c r="M66" s="3">
        <f t="shared" si="6"/>
        <v>1.478314899303466</v>
      </c>
    </row>
    <row r="67" spans="1:13" x14ac:dyDescent="0.2">
      <c r="A67" s="3">
        <v>22</v>
      </c>
      <c r="B67" s="3">
        <f t="shared" si="10"/>
        <v>10</v>
      </c>
      <c r="C67" s="3">
        <f t="shared" si="0"/>
        <v>2</v>
      </c>
      <c r="D67" s="3">
        <f t="shared" si="1"/>
        <v>42</v>
      </c>
      <c r="E67" s="3">
        <f t="shared" si="2"/>
        <v>6.324555320336759</v>
      </c>
      <c r="F67" s="3">
        <f t="shared" si="7"/>
        <v>0.31622776601683794</v>
      </c>
      <c r="G67" s="3">
        <f t="shared" si="8"/>
        <v>6.6407830863535962</v>
      </c>
      <c r="H67">
        <f t="shared" si="9"/>
        <v>0.65472084601857705</v>
      </c>
      <c r="I67">
        <f t="shared" si="9"/>
        <v>5.9159906568767362E-21</v>
      </c>
      <c r="J67">
        <f t="shared" si="3"/>
        <v>3584912846.1315918</v>
      </c>
      <c r="K67">
        <f t="shared" si="4"/>
        <v>2.7894680928689246E-10</v>
      </c>
      <c r="L67">
        <f t="shared" si="5"/>
        <v>3584912846.1315918</v>
      </c>
      <c r="M67" s="3">
        <f t="shared" si="6"/>
        <v>1.1573817996322227</v>
      </c>
    </row>
    <row r="68" spans="1:13" x14ac:dyDescent="0.2">
      <c r="A68" s="3">
        <v>23</v>
      </c>
      <c r="B68" s="3">
        <f t="shared" si="10"/>
        <v>10</v>
      </c>
      <c r="C68" s="3">
        <f t="shared" si="0"/>
        <v>3</v>
      </c>
      <c r="D68" s="3">
        <f t="shared" si="1"/>
        <v>43</v>
      </c>
      <c r="E68" s="3">
        <f t="shared" si="2"/>
        <v>6.324555320336759</v>
      </c>
      <c r="F68" s="3">
        <f t="shared" si="7"/>
        <v>0.47434164902525688</v>
      </c>
      <c r="G68" s="3">
        <f t="shared" si="8"/>
        <v>6.7988969693620156</v>
      </c>
      <c r="H68">
        <f t="shared" si="9"/>
        <v>0.50233495436050202</v>
      </c>
      <c r="I68">
        <f t="shared" si="9"/>
        <v>6.9047394217552388E-22</v>
      </c>
      <c r="J68">
        <f t="shared" si="3"/>
        <v>9744803446.2489033</v>
      </c>
      <c r="K68">
        <f t="shared" si="4"/>
        <v>1.026187963170189E-10</v>
      </c>
      <c r="L68">
        <f t="shared" si="5"/>
        <v>9744803446.2489033</v>
      </c>
      <c r="M68" s="3">
        <f t="shared" si="6"/>
        <v>0.87353344848674563</v>
      </c>
    </row>
    <row r="69" spans="1:13" x14ac:dyDescent="0.2">
      <c r="A69" s="3">
        <v>24</v>
      </c>
      <c r="B69" s="3">
        <f t="shared" si="10"/>
        <v>10</v>
      </c>
      <c r="C69" s="3">
        <f t="shared" si="0"/>
        <v>4</v>
      </c>
      <c r="D69" s="3">
        <f t="shared" si="1"/>
        <v>44</v>
      </c>
      <c r="E69" s="3">
        <f t="shared" si="2"/>
        <v>6.324555320336759</v>
      </c>
      <c r="F69" s="3">
        <f t="shared" si="7"/>
        <v>0.63245553203367588</v>
      </c>
      <c r="G69" s="3">
        <f t="shared" si="8"/>
        <v>6.9570108523704342</v>
      </c>
      <c r="H69">
        <f t="shared" si="9"/>
        <v>0.37109336952269767</v>
      </c>
      <c r="I69">
        <f t="shared" si="9"/>
        <v>7.6696105188188643E-23</v>
      </c>
      <c r="J69">
        <f t="shared" si="3"/>
        <v>26489122129.843472</v>
      </c>
      <c r="K69">
        <f t="shared" si="4"/>
        <v>3.7751345442790977E-11</v>
      </c>
      <c r="L69">
        <f t="shared" si="5"/>
        <v>26489122129.843472</v>
      </c>
      <c r="M69" s="3">
        <f t="shared" si="6"/>
        <v>0.63455547592699912</v>
      </c>
    </row>
    <row r="70" spans="1:13" x14ac:dyDescent="0.2">
      <c r="A70" s="3">
        <v>25</v>
      </c>
      <c r="B70" s="3">
        <f t="shared" si="10"/>
        <v>10</v>
      </c>
      <c r="C70" s="3">
        <f t="shared" si="0"/>
        <v>5</v>
      </c>
      <c r="D70" s="3">
        <f t="shared" si="1"/>
        <v>45</v>
      </c>
      <c r="E70" s="3">
        <f t="shared" si="2"/>
        <v>6.324555320336759</v>
      </c>
      <c r="F70" s="3">
        <f t="shared" si="7"/>
        <v>0.79056941504209477</v>
      </c>
      <c r="G70" s="3">
        <f t="shared" si="8"/>
        <v>7.1151247353788527</v>
      </c>
      <c r="H70">
        <f t="shared" si="9"/>
        <v>0.26355247728297276</v>
      </c>
      <c r="I70">
        <f t="shared" si="9"/>
        <v>8.1076716983672136E-24</v>
      </c>
      <c r="J70">
        <f t="shared" si="3"/>
        <v>72004899337.38588</v>
      </c>
      <c r="K70">
        <f t="shared" si="4"/>
        <v>1.3887943864964021E-11</v>
      </c>
      <c r="L70">
        <f t="shared" si="5"/>
        <v>72004899337.38588</v>
      </c>
      <c r="M70" s="3">
        <f t="shared" si="6"/>
        <v>0.44303317400895864</v>
      </c>
    </row>
    <row r="71" spans="1:13" x14ac:dyDescent="0.2">
      <c r="A71" s="3">
        <v>26</v>
      </c>
      <c r="B71" s="3">
        <f t="shared" si="10"/>
        <v>10</v>
      </c>
      <c r="C71" s="3">
        <f t="shared" si="0"/>
        <v>6</v>
      </c>
      <c r="D71" s="3">
        <f t="shared" si="1"/>
        <v>46</v>
      </c>
      <c r="E71" s="3">
        <f t="shared" si="2"/>
        <v>6.324555320336759</v>
      </c>
      <c r="F71" s="3">
        <f t="shared" si="7"/>
        <v>0.94868329805051377</v>
      </c>
      <c r="G71" s="3">
        <f t="shared" si="8"/>
        <v>7.2732386183872721</v>
      </c>
      <c r="H71">
        <f t="shared" si="9"/>
        <v>0.17971249487899987</v>
      </c>
      <c r="I71">
        <f t="shared" si="9"/>
        <v>8.1565598430116463E-25</v>
      </c>
      <c r="J71">
        <f t="shared" si="3"/>
        <v>195729609428.83878</v>
      </c>
      <c r="K71">
        <f t="shared" si="4"/>
        <v>5.1090890280633251E-12</v>
      </c>
      <c r="L71">
        <f t="shared" si="5"/>
        <v>195729609428.83878</v>
      </c>
      <c r="M71" s="3">
        <f t="shared" si="6"/>
        <v>0.29692929772419746</v>
      </c>
    </row>
    <row r="72" spans="1:13" x14ac:dyDescent="0.2">
      <c r="A72" s="3">
        <v>27</v>
      </c>
      <c r="B72" s="3">
        <f t="shared" si="10"/>
        <v>10</v>
      </c>
      <c r="C72" s="3">
        <f t="shared" ref="C72:C100" si="11">ABS(A72)-$B$28*B72</f>
        <v>7</v>
      </c>
      <c r="D72" s="3">
        <f t="shared" ref="D72:D100" si="12">ABS(A72)+$B$28*B72</f>
        <v>47</v>
      </c>
      <c r="E72" s="3">
        <f t="shared" ref="E72:E100" si="13">2*SQRT($B$25*B72)</f>
        <v>6.324555320336759</v>
      </c>
      <c r="F72" s="3">
        <f t="shared" si="7"/>
        <v>1.1067971810589328</v>
      </c>
      <c r="G72" s="3">
        <f t="shared" si="8"/>
        <v>7.4313525013956907</v>
      </c>
      <c r="H72">
        <f t="shared" si="9"/>
        <v>0.11752486809663917</v>
      </c>
      <c r="I72">
        <f t="shared" si="9"/>
        <v>7.8090401457081022E-26</v>
      </c>
      <c r="J72">
        <f t="shared" ref="J72:J100" si="14">EXP(A72*$B$30)</f>
        <v>532048240601.79865</v>
      </c>
      <c r="K72">
        <f t="shared" ref="K72:K100" si="15">EXP(-ABS(A72)*$B$30)</f>
        <v>1.8795288165390832E-12</v>
      </c>
      <c r="L72">
        <f t="shared" ref="L72:L100" si="16">EXP(ABS(A72)*$B$30)</f>
        <v>532048240601.79865</v>
      </c>
      <c r="M72" s="3">
        <f t="shared" ref="M72:M100" si="17">$B$32*J72*(K72*H72-L72*I72)</f>
        <v>0.19083880381754253</v>
      </c>
    </row>
    <row r="73" spans="1:13" x14ac:dyDescent="0.2">
      <c r="A73" s="3">
        <v>28</v>
      </c>
      <c r="B73" s="3">
        <f t="shared" si="10"/>
        <v>10</v>
      </c>
      <c r="C73" s="3">
        <f t="shared" si="11"/>
        <v>8</v>
      </c>
      <c r="D73" s="3">
        <f t="shared" si="12"/>
        <v>48</v>
      </c>
      <c r="E73" s="3">
        <f t="shared" si="13"/>
        <v>6.324555320336759</v>
      </c>
      <c r="F73" s="3">
        <f t="shared" si="7"/>
        <v>1.2649110640673518</v>
      </c>
      <c r="G73" s="3">
        <f t="shared" si="8"/>
        <v>7.5894663844041101</v>
      </c>
      <c r="H73">
        <f t="shared" si="9"/>
        <v>7.3638270120302621E-2</v>
      </c>
      <c r="I73">
        <f t="shared" si="9"/>
        <v>7.1147600453968553E-27</v>
      </c>
      <c r="J73">
        <f t="shared" si="14"/>
        <v>1446257064291.4751</v>
      </c>
      <c r="K73">
        <f t="shared" si="15"/>
        <v>6.914400106940203E-13</v>
      </c>
      <c r="L73">
        <f t="shared" si="16"/>
        <v>1446257064291.4751</v>
      </c>
      <c r="M73" s="3">
        <f t="shared" si="17"/>
        <v>0.11751322941898885</v>
      </c>
    </row>
    <row r="74" spans="1:13" x14ac:dyDescent="0.2">
      <c r="A74" s="3">
        <v>29</v>
      </c>
      <c r="B74" s="3">
        <f t="shared" si="10"/>
        <v>10</v>
      </c>
      <c r="C74" s="3">
        <f t="shared" si="11"/>
        <v>9</v>
      </c>
      <c r="D74" s="3">
        <f t="shared" si="12"/>
        <v>49</v>
      </c>
      <c r="E74" s="3">
        <f t="shared" si="13"/>
        <v>6.324555320336759</v>
      </c>
      <c r="F74" s="3">
        <f t="shared" si="7"/>
        <v>1.4230249470757705</v>
      </c>
      <c r="G74" s="3">
        <f t="shared" si="8"/>
        <v>7.7475802674125287</v>
      </c>
      <c r="H74">
        <f t="shared" si="9"/>
        <v>4.4171344908442642E-2</v>
      </c>
      <c r="I74">
        <f t="shared" si="9"/>
        <v>6.1686126611621076E-28</v>
      </c>
      <c r="J74">
        <f t="shared" si="14"/>
        <v>3931334297144.042</v>
      </c>
      <c r="K74">
        <f t="shared" si="15"/>
        <v>2.5436656473769228E-13</v>
      </c>
      <c r="L74">
        <f t="shared" si="16"/>
        <v>3931334297144.042</v>
      </c>
      <c r="M74" s="3">
        <f t="shared" si="17"/>
        <v>6.9275027724085031E-2</v>
      </c>
    </row>
    <row r="75" spans="1:13" x14ac:dyDescent="0.2">
      <c r="A75" s="3">
        <v>30</v>
      </c>
      <c r="B75" s="3">
        <f t="shared" si="10"/>
        <v>10</v>
      </c>
      <c r="C75" s="3">
        <f t="shared" si="11"/>
        <v>10</v>
      </c>
      <c r="D75" s="3">
        <f t="shared" si="12"/>
        <v>50</v>
      </c>
      <c r="E75" s="3">
        <f t="shared" si="13"/>
        <v>6.324555320336759</v>
      </c>
      <c r="F75" s="3">
        <f t="shared" si="7"/>
        <v>1.5811388300841895</v>
      </c>
      <c r="G75" s="3">
        <f t="shared" si="8"/>
        <v>7.9056941504209481</v>
      </c>
      <c r="H75">
        <f t="shared" si="9"/>
        <v>2.5347318677468273E-2</v>
      </c>
      <c r="I75">
        <f t="shared" si="9"/>
        <v>5.0894689738143671E-29</v>
      </c>
      <c r="J75">
        <f t="shared" si="14"/>
        <v>10686474581524.463</v>
      </c>
      <c r="K75">
        <f t="shared" si="15"/>
        <v>9.3576229688401748E-14</v>
      </c>
      <c r="L75">
        <f t="shared" si="16"/>
        <v>10686474581524.463</v>
      </c>
      <c r="M75" s="3">
        <f t="shared" si="17"/>
        <v>3.9070214998269244E-2</v>
      </c>
    </row>
    <row r="76" spans="1:13" x14ac:dyDescent="0.2">
      <c r="A76" s="3">
        <v>31</v>
      </c>
      <c r="B76" s="3">
        <f t="shared" si="10"/>
        <v>10</v>
      </c>
      <c r="C76" s="3">
        <f t="shared" si="11"/>
        <v>11</v>
      </c>
      <c r="D76" s="3">
        <f t="shared" si="12"/>
        <v>51</v>
      </c>
      <c r="E76" s="3">
        <f t="shared" si="13"/>
        <v>6.324555320336759</v>
      </c>
      <c r="F76" s="3">
        <f t="shared" si="7"/>
        <v>1.7392527130926085</v>
      </c>
      <c r="G76" s="3">
        <f t="shared" si="8"/>
        <v>8.0638080334293676</v>
      </c>
      <c r="H76">
        <f t="shared" si="9"/>
        <v>1.3906296895346077E-2</v>
      </c>
      <c r="I76">
        <f t="shared" si="9"/>
        <v>3.9958450641711745E-30</v>
      </c>
      <c r="J76">
        <f t="shared" si="14"/>
        <v>29048849665247.426</v>
      </c>
      <c r="K76">
        <f t="shared" si="15"/>
        <v>3.4424771084699768E-14</v>
      </c>
      <c r="L76">
        <f t="shared" si="16"/>
        <v>29048849665247.426</v>
      </c>
      <c r="M76" s="3">
        <f t="shared" si="17"/>
        <v>2.106892062179087E-2</v>
      </c>
    </row>
    <row r="77" spans="1:13" x14ac:dyDescent="0.2">
      <c r="A77" s="3">
        <v>32</v>
      </c>
      <c r="B77" s="3">
        <f t="shared" si="10"/>
        <v>10</v>
      </c>
      <c r="C77" s="3">
        <f t="shared" si="11"/>
        <v>12</v>
      </c>
      <c r="D77" s="3">
        <f t="shared" si="12"/>
        <v>52</v>
      </c>
      <c r="E77" s="3">
        <f t="shared" si="13"/>
        <v>6.324555320336759</v>
      </c>
      <c r="F77" s="3">
        <f t="shared" si="7"/>
        <v>1.8973665961010275</v>
      </c>
      <c r="G77" s="3">
        <f t="shared" si="8"/>
        <v>8.2219219164377861</v>
      </c>
      <c r="H77">
        <f t="shared" si="9"/>
        <v>7.2903580915356422E-3</v>
      </c>
      <c r="I77">
        <f t="shared" si="9"/>
        <v>2.9853127767597751E-31</v>
      </c>
      <c r="J77">
        <f t="shared" si="14"/>
        <v>78962960182680.688</v>
      </c>
      <c r="K77">
        <f t="shared" si="15"/>
        <v>1.2664165549094176E-14</v>
      </c>
      <c r="L77">
        <f t="shared" si="16"/>
        <v>78962960182680.688</v>
      </c>
      <c r="M77" s="3">
        <f t="shared" si="17"/>
        <v>1.0857942139881506E-2</v>
      </c>
    </row>
    <row r="78" spans="1:13" x14ac:dyDescent="0.2">
      <c r="A78" s="3">
        <v>33</v>
      </c>
      <c r="B78" s="3">
        <f t="shared" si="10"/>
        <v>10</v>
      </c>
      <c r="C78" s="3">
        <f t="shared" si="11"/>
        <v>13</v>
      </c>
      <c r="D78" s="3">
        <f t="shared" si="12"/>
        <v>53</v>
      </c>
      <c r="E78" s="3">
        <f t="shared" si="13"/>
        <v>6.324555320336759</v>
      </c>
      <c r="F78" s="3">
        <f t="shared" si="7"/>
        <v>2.0554804791094465</v>
      </c>
      <c r="G78" s="3">
        <f t="shared" si="8"/>
        <v>8.3800357994462047</v>
      </c>
      <c r="H78">
        <f t="shared" si="9"/>
        <v>3.650434404441876E-3</v>
      </c>
      <c r="I78">
        <f t="shared" si="9"/>
        <v>2.1223169041005736E-32</v>
      </c>
      <c r="J78">
        <f t="shared" si="14"/>
        <v>214643579785916.06</v>
      </c>
      <c r="K78">
        <f t="shared" si="15"/>
        <v>4.6588861451033977E-15</v>
      </c>
      <c r="L78">
        <f t="shared" si="16"/>
        <v>214643579785916.06</v>
      </c>
      <c r="M78" s="3">
        <f t="shared" si="17"/>
        <v>5.3452867940062465E-3</v>
      </c>
    </row>
    <row r="79" spans="1:13" x14ac:dyDescent="0.2">
      <c r="A79" s="3">
        <v>34</v>
      </c>
      <c r="B79" s="3">
        <f t="shared" si="10"/>
        <v>10</v>
      </c>
      <c r="C79" s="3">
        <f t="shared" si="11"/>
        <v>14</v>
      </c>
      <c r="D79" s="3">
        <f t="shared" si="12"/>
        <v>54</v>
      </c>
      <c r="E79" s="3">
        <f t="shared" si="13"/>
        <v>6.324555320336759</v>
      </c>
      <c r="F79" s="3">
        <f t="shared" si="7"/>
        <v>2.2135943621178655</v>
      </c>
      <c r="G79" s="3">
        <f t="shared" si="8"/>
        <v>8.5381496824546232</v>
      </c>
      <c r="H79">
        <f t="shared" si="9"/>
        <v>1.7451186995289046E-3</v>
      </c>
      <c r="I79">
        <f t="shared" si="9"/>
        <v>1.4357019667748239E-33</v>
      </c>
      <c r="J79">
        <f t="shared" si="14"/>
        <v>583461742527454.88</v>
      </c>
      <c r="K79">
        <f t="shared" si="15"/>
        <v>1.713908431542013E-15</v>
      </c>
      <c r="L79">
        <f t="shared" si="16"/>
        <v>583461742527454.88</v>
      </c>
      <c r="M79" s="3">
        <f t="shared" si="17"/>
        <v>2.5127322349915234E-3</v>
      </c>
    </row>
    <row r="80" spans="1:13" x14ac:dyDescent="0.2">
      <c r="A80" s="3">
        <v>35</v>
      </c>
      <c r="B80" s="3">
        <f t="shared" si="10"/>
        <v>10</v>
      </c>
      <c r="C80" s="3">
        <f t="shared" si="11"/>
        <v>15</v>
      </c>
      <c r="D80" s="3">
        <f t="shared" si="12"/>
        <v>55</v>
      </c>
      <c r="E80" s="3">
        <f t="shared" si="13"/>
        <v>6.324555320336759</v>
      </c>
      <c r="F80" s="3">
        <f t="shared" si="7"/>
        <v>2.3717082451262845</v>
      </c>
      <c r="G80" s="3">
        <f t="shared" si="8"/>
        <v>8.6962635654630418</v>
      </c>
      <c r="H80">
        <f t="shared" si="9"/>
        <v>7.9623015759081148E-4</v>
      </c>
      <c r="I80">
        <f t="shared" si="9"/>
        <v>9.2415919535320021E-35</v>
      </c>
      <c r="J80">
        <f t="shared" si="14"/>
        <v>1586013452313430.8</v>
      </c>
      <c r="K80">
        <f t="shared" si="15"/>
        <v>6.3051167601469892E-16</v>
      </c>
      <c r="L80">
        <f t="shared" si="16"/>
        <v>1586013452313430.8</v>
      </c>
      <c r="M80" s="3">
        <f t="shared" si="17"/>
        <v>1.1275271595662267E-3</v>
      </c>
    </row>
    <row r="81" spans="1:13" x14ac:dyDescent="0.2">
      <c r="A81" s="3">
        <v>36</v>
      </c>
      <c r="B81" s="3">
        <f t="shared" si="10"/>
        <v>10</v>
      </c>
      <c r="C81" s="3">
        <f t="shared" si="11"/>
        <v>16</v>
      </c>
      <c r="D81" s="3">
        <f t="shared" si="12"/>
        <v>56</v>
      </c>
      <c r="E81" s="3">
        <f t="shared" si="13"/>
        <v>6.324555320336759</v>
      </c>
      <c r="F81" s="3">
        <f t="shared" si="7"/>
        <v>2.5298221281347035</v>
      </c>
      <c r="G81" s="3">
        <f t="shared" si="8"/>
        <v>8.8543774484714621</v>
      </c>
      <c r="H81">
        <f t="shared" si="9"/>
        <v>3.466193511346668E-4</v>
      </c>
      <c r="I81">
        <f t="shared" si="9"/>
        <v>5.6604733066435704E-36</v>
      </c>
      <c r="J81">
        <f t="shared" si="14"/>
        <v>4311231547115195</v>
      </c>
      <c r="K81">
        <f t="shared" si="15"/>
        <v>2.3195228302435691E-16</v>
      </c>
      <c r="L81">
        <f t="shared" si="16"/>
        <v>4311231547115195</v>
      </c>
      <c r="M81" s="3">
        <f t="shared" si="17"/>
        <v>4.828194662694651E-4</v>
      </c>
    </row>
    <row r="82" spans="1:13" x14ac:dyDescent="0.2">
      <c r="A82" s="3">
        <v>37</v>
      </c>
      <c r="B82" s="3">
        <f t="shared" si="10"/>
        <v>10</v>
      </c>
      <c r="C82" s="3">
        <f t="shared" si="11"/>
        <v>17</v>
      </c>
      <c r="D82" s="3">
        <f t="shared" si="12"/>
        <v>57</v>
      </c>
      <c r="E82" s="3">
        <f t="shared" si="13"/>
        <v>6.324555320336759</v>
      </c>
      <c r="F82" s="3">
        <f t="shared" si="7"/>
        <v>2.6879360111431221</v>
      </c>
      <c r="G82" s="3">
        <f t="shared" si="8"/>
        <v>9.0124913314798807</v>
      </c>
      <c r="H82">
        <f t="shared" si="9"/>
        <v>1.4392985649715732E-4</v>
      </c>
      <c r="I82">
        <f t="shared" si="9"/>
        <v>3.2989630531769345E-37</v>
      </c>
      <c r="J82">
        <f t="shared" si="14"/>
        <v>1.1719142372802612E+16</v>
      </c>
      <c r="K82">
        <f t="shared" si="15"/>
        <v>8.5330476257440658E-17</v>
      </c>
      <c r="L82">
        <f t="shared" si="16"/>
        <v>1.1719142372802612E+16</v>
      </c>
      <c r="M82" s="3">
        <f t="shared" si="17"/>
        <v>1.9724491884701276E-4</v>
      </c>
    </row>
    <row r="83" spans="1:13" x14ac:dyDescent="0.2">
      <c r="A83" s="3">
        <v>38</v>
      </c>
      <c r="B83" s="3">
        <f t="shared" si="10"/>
        <v>10</v>
      </c>
      <c r="C83" s="3">
        <f t="shared" si="11"/>
        <v>18</v>
      </c>
      <c r="D83" s="3">
        <f t="shared" si="12"/>
        <v>58</v>
      </c>
      <c r="E83" s="3">
        <f t="shared" si="13"/>
        <v>6.324555320336759</v>
      </c>
      <c r="F83" s="3">
        <f t="shared" si="7"/>
        <v>2.8460498941515411</v>
      </c>
      <c r="G83" s="3">
        <f t="shared" si="8"/>
        <v>9.1706052144882992</v>
      </c>
      <c r="H83">
        <f t="shared" si="9"/>
        <v>5.6994116233318567E-5</v>
      </c>
      <c r="I83">
        <f t="shared" si="9"/>
        <v>1.8294326354169205E-38</v>
      </c>
      <c r="J83">
        <f t="shared" si="14"/>
        <v>3.1855931757113756E+16</v>
      </c>
      <c r="K83">
        <f t="shared" si="15"/>
        <v>3.1391327920480296E-17</v>
      </c>
      <c r="L83">
        <f t="shared" si="16"/>
        <v>3.1855931757113756E+16</v>
      </c>
      <c r="M83" s="3">
        <f t="shared" si="17"/>
        <v>7.6858053497651027E-5</v>
      </c>
    </row>
    <row r="84" spans="1:13" x14ac:dyDescent="0.2">
      <c r="A84" s="3">
        <v>39</v>
      </c>
      <c r="B84" s="3">
        <f t="shared" si="10"/>
        <v>10</v>
      </c>
      <c r="C84" s="3">
        <f t="shared" si="11"/>
        <v>19</v>
      </c>
      <c r="D84" s="3">
        <f t="shared" si="12"/>
        <v>59</v>
      </c>
      <c r="E84" s="3">
        <f t="shared" si="13"/>
        <v>6.324555320336759</v>
      </c>
      <c r="F84" s="3">
        <f t="shared" si="7"/>
        <v>3.0041637771599601</v>
      </c>
      <c r="G84" s="3">
        <f t="shared" si="8"/>
        <v>9.3287190974967178</v>
      </c>
      <c r="H84">
        <f t="shared" si="9"/>
        <v>2.1517864378120222E-5</v>
      </c>
      <c r="I84">
        <f t="shared" si="9"/>
        <v>9.6530686824513599E-40</v>
      </c>
      <c r="J84">
        <f t="shared" si="14"/>
        <v>8.6593400423993744E+16</v>
      </c>
      <c r="K84">
        <f t="shared" si="15"/>
        <v>1.1548224173015786E-17</v>
      </c>
      <c r="L84">
        <f t="shared" si="16"/>
        <v>8.6593400423993744E+16</v>
      </c>
      <c r="M84" s="3">
        <f t="shared" si="17"/>
        <v>2.8559181899919185E-5</v>
      </c>
    </row>
    <row r="85" spans="1:13" x14ac:dyDescent="0.2">
      <c r="A85" s="3">
        <v>40</v>
      </c>
      <c r="B85" s="3">
        <f t="shared" si="10"/>
        <v>10</v>
      </c>
      <c r="C85" s="3">
        <f t="shared" si="11"/>
        <v>20</v>
      </c>
      <c r="D85" s="3">
        <f t="shared" si="12"/>
        <v>60</v>
      </c>
      <c r="E85" s="3">
        <f t="shared" si="13"/>
        <v>6.324555320336759</v>
      </c>
      <c r="F85" s="3">
        <f t="shared" si="7"/>
        <v>3.1622776601683791</v>
      </c>
      <c r="G85" s="3">
        <f t="shared" si="8"/>
        <v>9.4868329805051381</v>
      </c>
      <c r="H85">
        <f t="shared" si="9"/>
        <v>7.7442164310440977E-6</v>
      </c>
      <c r="I85">
        <f t="shared" si="9"/>
        <v>4.8464118424053328E-41</v>
      </c>
      <c r="J85">
        <f t="shared" si="14"/>
        <v>2.3538526683702E+17</v>
      </c>
      <c r="K85">
        <f t="shared" si="15"/>
        <v>4.2483542552915889E-18</v>
      </c>
      <c r="L85">
        <f t="shared" si="16"/>
        <v>2.3538526683702E+17</v>
      </c>
      <c r="M85" s="3">
        <f t="shared" si="17"/>
        <v>1.0118005274484039E-5</v>
      </c>
    </row>
    <row r="86" spans="1:13" x14ac:dyDescent="0.2">
      <c r="A86" s="3">
        <v>41</v>
      </c>
      <c r="B86" s="3">
        <f t="shared" si="10"/>
        <v>10</v>
      </c>
      <c r="C86" s="3">
        <f t="shared" si="11"/>
        <v>21</v>
      </c>
      <c r="D86" s="3">
        <f t="shared" si="12"/>
        <v>61</v>
      </c>
      <c r="E86" s="3">
        <f t="shared" si="13"/>
        <v>6.324555320336759</v>
      </c>
      <c r="F86" s="3">
        <f t="shared" si="7"/>
        <v>3.3203915431767981</v>
      </c>
      <c r="G86" s="3">
        <f t="shared" si="8"/>
        <v>9.6449468635135567</v>
      </c>
      <c r="H86">
        <f t="shared" si="9"/>
        <v>2.6563968243191819E-6</v>
      </c>
      <c r="I86">
        <f t="shared" si="9"/>
        <v>2.315140334700942E-42</v>
      </c>
      <c r="J86">
        <f t="shared" si="14"/>
        <v>6.3984349353005491E+17</v>
      </c>
      <c r="K86">
        <f t="shared" si="15"/>
        <v>1.5628821893349888E-18</v>
      </c>
      <c r="L86">
        <f t="shared" si="16"/>
        <v>6.3984349353005491E+17</v>
      </c>
      <c r="M86" s="3">
        <f t="shared" si="17"/>
        <v>3.4171581492054845E-6</v>
      </c>
    </row>
    <row r="87" spans="1:13" x14ac:dyDescent="0.2">
      <c r="A87" s="3">
        <v>42</v>
      </c>
      <c r="B87" s="3">
        <f t="shared" si="10"/>
        <v>10</v>
      </c>
      <c r="C87" s="3">
        <f t="shared" si="11"/>
        <v>22</v>
      </c>
      <c r="D87" s="3">
        <f t="shared" si="12"/>
        <v>62</v>
      </c>
      <c r="E87" s="3">
        <f t="shared" si="13"/>
        <v>6.324555320336759</v>
      </c>
      <c r="F87" s="3">
        <f t="shared" si="7"/>
        <v>3.4785054261852171</v>
      </c>
      <c r="G87" s="3">
        <f t="shared" si="8"/>
        <v>9.8030607465219752</v>
      </c>
      <c r="H87">
        <f t="shared" si="9"/>
        <v>8.6832280854547149E-7</v>
      </c>
      <c r="I87">
        <f t="shared" si="9"/>
        <v>1.052283415732426E-43</v>
      </c>
      <c r="J87">
        <f t="shared" si="14"/>
        <v>1.739274941520501E+18</v>
      </c>
      <c r="K87">
        <f t="shared" si="15"/>
        <v>5.7495222642935599E-19</v>
      </c>
      <c r="L87">
        <f t="shared" si="16"/>
        <v>1.739274941520501E+18</v>
      </c>
      <c r="M87" s="3">
        <f t="shared" si="17"/>
        <v>1.099997877598839E-6</v>
      </c>
    </row>
    <row r="88" spans="1:13" x14ac:dyDescent="0.2">
      <c r="A88" s="3">
        <v>43</v>
      </c>
      <c r="B88" s="3">
        <f t="shared" si="10"/>
        <v>10</v>
      </c>
      <c r="C88" s="3">
        <f t="shared" si="11"/>
        <v>23</v>
      </c>
      <c r="D88" s="3">
        <f t="shared" si="12"/>
        <v>63</v>
      </c>
      <c r="E88" s="3">
        <f t="shared" si="13"/>
        <v>6.324555320336759</v>
      </c>
      <c r="F88" s="3">
        <f t="shared" si="7"/>
        <v>3.6366193091936361</v>
      </c>
      <c r="G88" s="3">
        <f t="shared" si="8"/>
        <v>9.9611746295303938</v>
      </c>
      <c r="H88">
        <f t="shared" si="9"/>
        <v>2.7044847886335556E-7</v>
      </c>
      <c r="I88">
        <f t="shared" si="9"/>
        <v>4.5507504173767479E-45</v>
      </c>
      <c r="J88">
        <f t="shared" si="14"/>
        <v>4.7278394682293463E+18</v>
      </c>
      <c r="K88">
        <f t="shared" si="15"/>
        <v>2.1151310375910805E-19</v>
      </c>
      <c r="L88">
        <f t="shared" si="16"/>
        <v>4.7278394682293463E+18</v>
      </c>
      <c r="M88" s="3">
        <f t="shared" si="17"/>
        <v>3.3745596942899682E-7</v>
      </c>
    </row>
    <row r="89" spans="1:13" x14ac:dyDescent="0.2">
      <c r="A89" s="3">
        <v>44</v>
      </c>
      <c r="B89" s="3">
        <f t="shared" si="10"/>
        <v>10</v>
      </c>
      <c r="C89" s="3">
        <f t="shared" si="11"/>
        <v>24</v>
      </c>
      <c r="D89" s="3">
        <f t="shared" si="12"/>
        <v>64</v>
      </c>
      <c r="E89" s="3">
        <f t="shared" si="13"/>
        <v>6.324555320336759</v>
      </c>
      <c r="F89" s="3">
        <f t="shared" si="7"/>
        <v>3.7947331922020551</v>
      </c>
      <c r="G89" s="3">
        <f t="shared" si="8"/>
        <v>10.119288512538814</v>
      </c>
      <c r="H89">
        <f t="shared" si="9"/>
        <v>8.0251112669275954E-8</v>
      </c>
      <c r="I89">
        <f t="shared" si="9"/>
        <v>1.8725130072940396E-46</v>
      </c>
      <c r="J89">
        <f t="shared" si="14"/>
        <v>1.2851600114359308E+19</v>
      </c>
      <c r="K89">
        <f t="shared" si="15"/>
        <v>7.7811322411337966E-20</v>
      </c>
      <c r="L89">
        <f t="shared" si="16"/>
        <v>1.2851600114359308E+19</v>
      </c>
      <c r="M89" s="3">
        <f t="shared" si="17"/>
        <v>9.8648017922658239E-8</v>
      </c>
    </row>
    <row r="90" spans="1:13" x14ac:dyDescent="0.2">
      <c r="A90" s="3">
        <v>45</v>
      </c>
      <c r="B90" s="3">
        <f t="shared" si="10"/>
        <v>10</v>
      </c>
      <c r="C90" s="3">
        <f t="shared" si="11"/>
        <v>25</v>
      </c>
      <c r="D90" s="3">
        <f t="shared" si="12"/>
        <v>65</v>
      </c>
      <c r="E90" s="3">
        <f t="shared" si="13"/>
        <v>6.324555320336759</v>
      </c>
      <c r="F90" s="3">
        <f t="shared" si="7"/>
        <v>3.9528470752104741</v>
      </c>
      <c r="G90" s="3">
        <f t="shared" si="8"/>
        <v>10.277402395547233</v>
      </c>
      <c r="H90">
        <f t="shared" si="9"/>
        <v>2.2684748592600856E-8</v>
      </c>
      <c r="I90">
        <f t="shared" si="9"/>
        <v>7.3308612443058151E-48</v>
      </c>
      <c r="J90">
        <f t="shared" si="14"/>
        <v>3.4934271057485095E+19</v>
      </c>
      <c r="K90">
        <f t="shared" si="15"/>
        <v>2.8625185805493937E-20</v>
      </c>
      <c r="L90">
        <f t="shared" si="16"/>
        <v>3.4934271057485095E+19</v>
      </c>
      <c r="M90" s="3">
        <f t="shared" si="17"/>
        <v>2.7476282759726106E-8</v>
      </c>
    </row>
    <row r="91" spans="1:13" x14ac:dyDescent="0.2">
      <c r="A91" s="3">
        <v>46</v>
      </c>
      <c r="B91" s="3">
        <f t="shared" si="10"/>
        <v>10</v>
      </c>
      <c r="C91" s="3">
        <f t="shared" si="11"/>
        <v>26</v>
      </c>
      <c r="D91" s="3">
        <f t="shared" si="12"/>
        <v>66</v>
      </c>
      <c r="E91" s="3">
        <f t="shared" si="13"/>
        <v>6.324555320336759</v>
      </c>
      <c r="F91" s="3">
        <f t="shared" si="7"/>
        <v>4.1109609582188931</v>
      </c>
      <c r="G91" s="3">
        <f t="shared" si="8"/>
        <v>10.435516278555651</v>
      </c>
      <c r="H91">
        <f t="shared" si="9"/>
        <v>6.1078863597094942E-9</v>
      </c>
      <c r="I91">
        <f t="shared" si="9"/>
        <v>2.7306775798374862E-49</v>
      </c>
      <c r="J91">
        <f t="shared" si="14"/>
        <v>9.4961194206024483E+19</v>
      </c>
      <c r="K91">
        <f t="shared" si="15"/>
        <v>1.0530617357553812E-20</v>
      </c>
      <c r="L91">
        <f t="shared" si="16"/>
        <v>9.4961194206024483E+19</v>
      </c>
      <c r="M91" s="3">
        <f t="shared" si="17"/>
        <v>7.2909255776324217E-9</v>
      </c>
    </row>
    <row r="92" spans="1:13" x14ac:dyDescent="0.2">
      <c r="A92" s="3">
        <v>47</v>
      </c>
      <c r="B92" s="3">
        <f t="shared" si="10"/>
        <v>10</v>
      </c>
      <c r="C92" s="3">
        <f t="shared" si="11"/>
        <v>27</v>
      </c>
      <c r="D92" s="3">
        <f t="shared" si="12"/>
        <v>67</v>
      </c>
      <c r="E92" s="3">
        <f t="shared" si="13"/>
        <v>6.324555320336759</v>
      </c>
      <c r="F92" s="3">
        <f t="shared" si="7"/>
        <v>4.2690748412273116</v>
      </c>
      <c r="G92" s="3">
        <f t="shared" si="8"/>
        <v>10.59363016156407</v>
      </c>
      <c r="H92">
        <f t="shared" si="9"/>
        <v>1.5663312921022304E-9</v>
      </c>
      <c r="I92">
        <f t="shared" si="9"/>
        <v>9.6776116441690499E-51</v>
      </c>
      <c r="J92">
        <f t="shared" si="14"/>
        <v>2.5813128861900675E+20</v>
      </c>
      <c r="K92">
        <f t="shared" si="15"/>
        <v>3.8739976286871868E-21</v>
      </c>
      <c r="L92">
        <f t="shared" si="16"/>
        <v>2.5813128861900675E+20</v>
      </c>
      <c r="M92" s="3">
        <f t="shared" si="17"/>
        <v>1.8429899494226933E-9</v>
      </c>
    </row>
    <row r="93" spans="1:13" x14ac:dyDescent="0.2">
      <c r="A93" s="3">
        <v>48</v>
      </c>
      <c r="B93" s="3">
        <f t="shared" si="10"/>
        <v>10</v>
      </c>
      <c r="C93" s="3">
        <f t="shared" si="11"/>
        <v>28</v>
      </c>
      <c r="D93" s="3">
        <f t="shared" si="12"/>
        <v>68</v>
      </c>
      <c r="E93" s="3">
        <f t="shared" si="13"/>
        <v>6.324555320336759</v>
      </c>
      <c r="F93" s="3">
        <f t="shared" si="7"/>
        <v>4.4271887242357311</v>
      </c>
      <c r="G93" s="3">
        <f t="shared" si="8"/>
        <v>10.751744044572488</v>
      </c>
      <c r="H93">
        <f t="shared" si="9"/>
        <v>3.8254023259386252E-10</v>
      </c>
      <c r="I93">
        <f t="shared" si="9"/>
        <v>3.2632135342258494E-52</v>
      </c>
      <c r="J93">
        <f t="shared" si="14"/>
        <v>7.0167359120976314E+20</v>
      </c>
      <c r="K93">
        <f t="shared" si="15"/>
        <v>1.4251640827409352E-21</v>
      </c>
      <c r="L93">
        <f t="shared" si="16"/>
        <v>7.0167359120976314E+20</v>
      </c>
      <c r="M93" s="3">
        <f t="shared" si="17"/>
        <v>4.4375455090550598E-10</v>
      </c>
    </row>
    <row r="94" spans="1:13" x14ac:dyDescent="0.2">
      <c r="A94" s="3">
        <v>49</v>
      </c>
      <c r="B94" s="3">
        <f t="shared" si="10"/>
        <v>10</v>
      </c>
      <c r="C94" s="3">
        <f t="shared" si="11"/>
        <v>29</v>
      </c>
      <c r="D94" s="3">
        <f t="shared" si="12"/>
        <v>69</v>
      </c>
      <c r="E94" s="3">
        <f t="shared" si="13"/>
        <v>6.324555320336759</v>
      </c>
      <c r="F94" s="3">
        <f t="shared" si="7"/>
        <v>4.5853026072441496</v>
      </c>
      <c r="G94" s="3">
        <f t="shared" si="8"/>
        <v>10.909857927580909</v>
      </c>
      <c r="H94">
        <f t="shared" si="9"/>
        <v>8.8969190918391003E-11</v>
      </c>
      <c r="I94">
        <f t="shared" si="9"/>
        <v>1.0468866235051067E-53</v>
      </c>
      <c r="J94">
        <f t="shared" si="14"/>
        <v>1.9073465724950998E+21</v>
      </c>
      <c r="K94">
        <f t="shared" si="15"/>
        <v>5.2428856633634639E-22</v>
      </c>
      <c r="L94">
        <f t="shared" si="16"/>
        <v>1.9073465724950998E+21</v>
      </c>
      <c r="M94" s="3">
        <f t="shared" si="17"/>
        <v>1.0176751940174491E-10</v>
      </c>
    </row>
    <row r="95" spans="1:13" x14ac:dyDescent="0.2">
      <c r="A95" s="3">
        <v>50</v>
      </c>
      <c r="B95" s="3">
        <f t="shared" si="10"/>
        <v>10</v>
      </c>
      <c r="C95" s="3">
        <f t="shared" si="11"/>
        <v>30</v>
      </c>
      <c r="D95" s="3">
        <f t="shared" si="12"/>
        <v>70</v>
      </c>
      <c r="E95" s="3">
        <f t="shared" si="13"/>
        <v>6.324555320336759</v>
      </c>
      <c r="F95" s="3">
        <f t="shared" si="7"/>
        <v>4.7434164902525691</v>
      </c>
      <c r="G95" s="3">
        <f t="shared" si="8"/>
        <v>11.067971810589327</v>
      </c>
      <c r="H95">
        <f t="shared" si="9"/>
        <v>1.9703444711799161E-11</v>
      </c>
      <c r="I95">
        <f t="shared" si="9"/>
        <v>3.1954210346212372E-55</v>
      </c>
      <c r="J95">
        <f t="shared" si="14"/>
        <v>5.184705528587072E+21</v>
      </c>
      <c r="K95">
        <f t="shared" si="15"/>
        <v>1.9287498479639178E-22</v>
      </c>
      <c r="L95">
        <f t="shared" si="16"/>
        <v>5.184705528587072E+21</v>
      </c>
      <c r="M95" s="3">
        <f t="shared" si="17"/>
        <v>2.2227557306627929E-11</v>
      </c>
    </row>
    <row r="96" spans="1:13" x14ac:dyDescent="0.2">
      <c r="A96" s="3">
        <v>51</v>
      </c>
      <c r="B96" s="3">
        <f t="shared" si="10"/>
        <v>10</v>
      </c>
      <c r="C96" s="3">
        <f t="shared" si="11"/>
        <v>31</v>
      </c>
      <c r="D96" s="3">
        <f t="shared" si="12"/>
        <v>71</v>
      </c>
      <c r="E96" s="3">
        <f t="shared" si="13"/>
        <v>6.324555320336759</v>
      </c>
      <c r="F96" s="3">
        <f t="shared" si="7"/>
        <v>4.9015303732609876</v>
      </c>
      <c r="G96" s="3">
        <f t="shared" si="8"/>
        <v>11.226085693597746</v>
      </c>
      <c r="H96">
        <f t="shared" si="9"/>
        <v>4.1548762266523793E-12</v>
      </c>
      <c r="I96">
        <f t="shared" si="9"/>
        <v>9.2795805259218089E-57</v>
      </c>
      <c r="J96">
        <f t="shared" si="14"/>
        <v>1.4093490824269389E+22</v>
      </c>
      <c r="K96">
        <f t="shared" si="15"/>
        <v>7.0954741622847037E-23</v>
      </c>
      <c r="L96">
        <f t="shared" si="16"/>
        <v>1.4093490824269389E+22</v>
      </c>
      <c r="M96" s="3">
        <f t="shared" si="17"/>
        <v>4.6234115547555075E-12</v>
      </c>
    </row>
    <row r="97" spans="1:13" x14ac:dyDescent="0.2">
      <c r="A97" s="3">
        <v>52</v>
      </c>
      <c r="B97" s="3">
        <f t="shared" si="10"/>
        <v>10</v>
      </c>
      <c r="C97" s="3">
        <f t="shared" si="11"/>
        <v>32</v>
      </c>
      <c r="D97" s="3">
        <f t="shared" si="12"/>
        <v>72</v>
      </c>
      <c r="E97" s="3">
        <f t="shared" si="13"/>
        <v>6.324555320336759</v>
      </c>
      <c r="F97" s="3">
        <f t="shared" si="7"/>
        <v>5.0596442562694071</v>
      </c>
      <c r="G97" s="3">
        <f t="shared" si="8"/>
        <v>11.384199576606164</v>
      </c>
      <c r="H97">
        <f t="shared" si="9"/>
        <v>8.3418628478912555E-13</v>
      </c>
      <c r="I97">
        <f t="shared" si="9"/>
        <v>2.5638821011655101E-58</v>
      </c>
      <c r="J97">
        <f t="shared" si="14"/>
        <v>3.8310080007165769E+22</v>
      </c>
      <c r="K97">
        <f t="shared" si="15"/>
        <v>2.6102790696677047E-23</v>
      </c>
      <c r="L97">
        <f t="shared" si="16"/>
        <v>3.8310080007165769E+22</v>
      </c>
      <c r="M97" s="3">
        <f t="shared" si="17"/>
        <v>9.1578998508781216E-13</v>
      </c>
    </row>
    <row r="98" spans="1:13" x14ac:dyDescent="0.2">
      <c r="A98" s="3">
        <v>53</v>
      </c>
      <c r="B98" s="3">
        <f t="shared" si="10"/>
        <v>10</v>
      </c>
      <c r="C98" s="3">
        <f t="shared" si="11"/>
        <v>33</v>
      </c>
      <c r="D98" s="3">
        <f t="shared" si="12"/>
        <v>73</v>
      </c>
      <c r="E98" s="3">
        <f t="shared" si="13"/>
        <v>6.324555320336759</v>
      </c>
      <c r="F98" s="3">
        <f t="shared" si="7"/>
        <v>5.2177581392778256</v>
      </c>
      <c r="G98" s="3">
        <f t="shared" si="8"/>
        <v>11.542313459614585</v>
      </c>
      <c r="H98">
        <f t="shared" si="9"/>
        <v>1.5945369908213889E-13</v>
      </c>
      <c r="I98">
        <f t="shared" si="9"/>
        <v>6.7396126413945475E-60</v>
      </c>
      <c r="J98">
        <f t="shared" si="14"/>
        <v>1.0413759433029089E+23</v>
      </c>
      <c r="K98">
        <f t="shared" si="15"/>
        <v>9.6026800545086756E-24</v>
      </c>
      <c r="L98">
        <f t="shared" si="16"/>
        <v>1.0413759433029089E+23</v>
      </c>
      <c r="M98" s="3">
        <f t="shared" si="17"/>
        <v>1.7273007199931562E-13</v>
      </c>
    </row>
    <row r="99" spans="1:13" x14ac:dyDescent="0.2">
      <c r="A99" s="3">
        <v>54</v>
      </c>
      <c r="B99" s="3">
        <f t="shared" si="10"/>
        <v>10</v>
      </c>
      <c r="C99" s="3">
        <f t="shared" si="11"/>
        <v>34</v>
      </c>
      <c r="D99" s="3">
        <f t="shared" si="12"/>
        <v>74</v>
      </c>
      <c r="E99" s="3">
        <f t="shared" si="13"/>
        <v>6.324555320336759</v>
      </c>
      <c r="F99" s="3">
        <f t="shared" si="7"/>
        <v>5.3758720222862442</v>
      </c>
      <c r="G99" s="3">
        <f t="shared" si="8"/>
        <v>11.700427342623003</v>
      </c>
      <c r="H99">
        <f t="shared" si="9"/>
        <v>2.9016972125628953E-14</v>
      </c>
      <c r="I99">
        <f t="shared" si="9"/>
        <v>1.6855312991874767E-61</v>
      </c>
      <c r="J99">
        <f t="shared" si="14"/>
        <v>2.8307533032746939E+23</v>
      </c>
      <c r="K99">
        <f t="shared" si="15"/>
        <v>3.5326285722008071E-24</v>
      </c>
      <c r="L99">
        <f t="shared" si="16"/>
        <v>2.8307533032746939E+23</v>
      </c>
      <c r="M99" s="3">
        <f t="shared" si="17"/>
        <v>3.1021065906250755E-14</v>
      </c>
    </row>
    <row r="100" spans="1:13" x14ac:dyDescent="0.2">
      <c r="A100" s="3">
        <v>55</v>
      </c>
      <c r="B100" s="3">
        <f t="shared" si="10"/>
        <v>10</v>
      </c>
      <c r="C100" s="3">
        <f t="shared" si="11"/>
        <v>35</v>
      </c>
      <c r="D100" s="3">
        <f t="shared" si="12"/>
        <v>75</v>
      </c>
      <c r="E100" s="3">
        <f t="shared" si="13"/>
        <v>6.324555320336759</v>
      </c>
      <c r="F100" s="3">
        <f t="shared" si="7"/>
        <v>5.5339859052946636</v>
      </c>
      <c r="G100" s="3">
        <f t="shared" si="8"/>
        <v>11.858541225631422</v>
      </c>
      <c r="H100">
        <f t="shared" si="9"/>
        <v>5.0268561537410668E-15</v>
      </c>
      <c r="I100">
        <f t="shared" si="9"/>
        <v>4.0105285390711553E-63</v>
      </c>
      <c r="J100">
        <f t="shared" si="14"/>
        <v>7.6947852651420175E+23</v>
      </c>
      <c r="K100">
        <f t="shared" si="15"/>
        <v>1.2995814250075031E-24</v>
      </c>
      <c r="L100">
        <f t="shared" si="16"/>
        <v>7.6947852651420175E+23</v>
      </c>
      <c r="M100" s="3">
        <f t="shared" si="17"/>
        <v>5.3044668482838999E-15</v>
      </c>
    </row>
  </sheetData>
  <mergeCells count="2">
    <mergeCell ref="A20:H20"/>
    <mergeCell ref="A27:H27"/>
  </mergeCells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R65"/>
  <sheetViews>
    <sheetView workbookViewId="0">
      <selection activeCell="O28" sqref="O28"/>
    </sheetView>
  </sheetViews>
  <sheetFormatPr baseColWidth="10" defaultRowHeight="16" x14ac:dyDescent="0.2"/>
  <cols>
    <col min="1" max="1" width="23.6640625" style="16" customWidth="1"/>
    <col min="2" max="2" width="11" style="16" bestFit="1" customWidth="1"/>
    <col min="3" max="3" width="24.33203125" customWidth="1"/>
    <col min="4" max="5" width="11" bestFit="1" customWidth="1"/>
    <col min="6" max="9" width="12.1640625" bestFit="1" customWidth="1"/>
    <col min="10" max="14" width="11" bestFit="1" customWidth="1"/>
    <col min="15" max="18" width="12.1640625" bestFit="1" customWidth="1"/>
  </cols>
  <sheetData>
    <row r="1" spans="1:2" x14ac:dyDescent="0.2">
      <c r="A1" s="3" t="s">
        <v>32</v>
      </c>
      <c r="B1" s="3" t="s">
        <v>74</v>
      </c>
    </row>
    <row r="2" spans="1:2" x14ac:dyDescent="0.2">
      <c r="A2" s="3" t="s">
        <v>191</v>
      </c>
      <c r="B2" s="3" t="s">
        <v>208</v>
      </c>
    </row>
    <row r="3" spans="1:2" x14ac:dyDescent="0.2">
      <c r="A3" s="3" t="s">
        <v>17</v>
      </c>
      <c r="B3" s="3">
        <v>1</v>
      </c>
    </row>
    <row r="4" spans="1:2" x14ac:dyDescent="0.2">
      <c r="A4" s="3" t="s">
        <v>18</v>
      </c>
      <c r="B4" s="3" t="s">
        <v>19</v>
      </c>
    </row>
    <row r="5" spans="1:2" x14ac:dyDescent="0.2">
      <c r="A5" s="3" t="s">
        <v>20</v>
      </c>
      <c r="B5" s="3" t="s">
        <v>19</v>
      </c>
    </row>
    <row r="6" spans="1:2" x14ac:dyDescent="0.2">
      <c r="A6" s="3" t="s">
        <v>21</v>
      </c>
      <c r="B6" s="3" t="s">
        <v>22</v>
      </c>
    </row>
    <row r="7" spans="1:2" x14ac:dyDescent="0.2">
      <c r="A7" s="3" t="s">
        <v>23</v>
      </c>
      <c r="B7" s="3" t="s">
        <v>24</v>
      </c>
    </row>
    <row r="8" spans="1:2" x14ac:dyDescent="0.2">
      <c r="A8" s="3" t="s">
        <v>25</v>
      </c>
      <c r="B8" s="3" t="s">
        <v>26</v>
      </c>
    </row>
    <row r="9" spans="1:2" x14ac:dyDescent="0.2">
      <c r="A9" s="3" t="s">
        <v>27</v>
      </c>
      <c r="B9" s="3" t="s">
        <v>26</v>
      </c>
    </row>
    <row r="10" spans="1:2" x14ac:dyDescent="0.2">
      <c r="A10" s="3" t="s">
        <v>130</v>
      </c>
      <c r="B10" s="3" t="s">
        <v>29</v>
      </c>
    </row>
    <row r="11" spans="1:2" x14ac:dyDescent="0.2">
      <c r="A11" s="3"/>
      <c r="B11" s="3" t="s">
        <v>129</v>
      </c>
    </row>
    <row r="12" spans="1:2" x14ac:dyDescent="0.2">
      <c r="A12" s="3" t="s">
        <v>30</v>
      </c>
      <c r="B12" s="3" t="s">
        <v>31</v>
      </c>
    </row>
    <row r="13" spans="1:2" x14ac:dyDescent="0.2">
      <c r="A13" s="20" t="s">
        <v>85</v>
      </c>
      <c r="B13" s="20" t="s">
        <v>86</v>
      </c>
    </row>
    <row r="14" spans="1:2" x14ac:dyDescent="0.2">
      <c r="A14" s="20" t="s">
        <v>87</v>
      </c>
      <c r="B14" s="20" t="s">
        <v>88</v>
      </c>
    </row>
    <row r="15" spans="1:2" x14ac:dyDescent="0.2">
      <c r="A15" s="3"/>
      <c r="B15" s="20" t="s">
        <v>89</v>
      </c>
    </row>
    <row r="16" spans="1:2" x14ac:dyDescent="0.2">
      <c r="A16" s="20" t="s">
        <v>93</v>
      </c>
      <c r="B16" s="20" t="s">
        <v>131</v>
      </c>
    </row>
    <row r="17" spans="1:18" x14ac:dyDescent="0.2">
      <c r="A17" s="3"/>
      <c r="B17" s="20"/>
    </row>
    <row r="18" spans="1:18" x14ac:dyDescent="0.2">
      <c r="A18" s="3"/>
      <c r="B18" s="20"/>
    </row>
    <row r="19" spans="1:18" x14ac:dyDescent="0.2">
      <c r="A19" s="3"/>
      <c r="B19" s="3"/>
    </row>
    <row r="20" spans="1:18" x14ac:dyDescent="0.2">
      <c r="A20" s="3" t="s">
        <v>33</v>
      </c>
      <c r="B20" s="3"/>
      <c r="C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r="21" spans="1:18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18" x14ac:dyDescent="0.2">
      <c r="A22" s="3" t="s">
        <v>48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  <row r="23" spans="1:18" ht="19" x14ac:dyDescent="0.2">
      <c r="A23" s="3" t="s">
        <v>34</v>
      </c>
      <c r="B23" s="15">
        <v>1000</v>
      </c>
      <c r="C23" s="3" t="s">
        <v>35</v>
      </c>
      <c r="D23" s="3" t="s">
        <v>46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</row>
    <row r="24" spans="1:18" x14ac:dyDescent="0.2">
      <c r="A24" s="3" t="s">
        <v>36</v>
      </c>
      <c r="B24" s="15">
        <v>4</v>
      </c>
      <c r="C24" s="3" t="s">
        <v>37</v>
      </c>
      <c r="D24" s="3" t="s">
        <v>38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</row>
    <row r="25" spans="1:18" x14ac:dyDescent="0.2">
      <c r="A25" s="3" t="s">
        <v>39</v>
      </c>
      <c r="B25" s="15">
        <v>0.5</v>
      </c>
      <c r="C25" s="3" t="s">
        <v>40</v>
      </c>
      <c r="D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</row>
    <row r="26" spans="1:18" ht="19" x14ac:dyDescent="0.2">
      <c r="A26" s="3" t="s">
        <v>41</v>
      </c>
      <c r="B26" s="15">
        <v>10</v>
      </c>
      <c r="C26" s="3" t="s">
        <v>42</v>
      </c>
      <c r="D26" s="3" t="s">
        <v>47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</row>
    <row r="27" spans="1:18" x14ac:dyDescent="0.2">
      <c r="A27" s="18" t="s">
        <v>43</v>
      </c>
      <c r="B27" s="15">
        <v>10</v>
      </c>
      <c r="C27" s="3" t="s">
        <v>44</v>
      </c>
      <c r="D27" s="3" t="s">
        <v>45</v>
      </c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</row>
    <row r="28" spans="1:18" x14ac:dyDescent="0.2">
      <c r="A28" s="3" t="s">
        <v>49</v>
      </c>
      <c r="B28" s="15"/>
      <c r="C28" s="3"/>
      <c r="D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</row>
    <row r="29" spans="1:18" x14ac:dyDescent="0.2">
      <c r="A29" s="3" t="s">
        <v>50</v>
      </c>
      <c r="B29" s="15">
        <f>B24/B25</f>
        <v>8</v>
      </c>
      <c r="C29" s="3" t="s">
        <v>51</v>
      </c>
      <c r="D29" s="3" t="s">
        <v>38</v>
      </c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r="30" spans="1:18" x14ac:dyDescent="0.2">
      <c r="A30" s="3" t="s">
        <v>52</v>
      </c>
      <c r="B30" s="15">
        <f>B29/B26</f>
        <v>0.8</v>
      </c>
      <c r="C30" s="3"/>
      <c r="D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</row>
    <row r="31" spans="1:18" x14ac:dyDescent="0.2">
      <c r="A31" s="3" t="s">
        <v>73</v>
      </c>
      <c r="B31" s="3" t="str">
        <f>CONCATENATE("Concentation History for Observation Location at ",A36," (meters) Downgradient of Source")</f>
        <v>Concentation History for Observation Location at 100 (meters) Downgradient of Source</v>
      </c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</row>
    <row r="32" spans="1:18" x14ac:dyDescent="0.2">
      <c r="A32" s="3"/>
      <c r="B32" s="15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</row>
    <row r="33" spans="1:18" x14ac:dyDescent="0.2">
      <c r="A33" s="3"/>
      <c r="B33" s="15"/>
      <c r="C33" s="4"/>
      <c r="D33" s="5"/>
      <c r="E33" s="5" t="s">
        <v>53</v>
      </c>
      <c r="F33" s="5"/>
      <c r="G33" s="5"/>
      <c r="H33" s="6"/>
      <c r="I33" s="3" t="s">
        <v>71</v>
      </c>
      <c r="J33" s="3"/>
      <c r="K33" s="3"/>
      <c r="L33" s="4"/>
      <c r="M33" s="5"/>
      <c r="N33" s="5" t="s">
        <v>53</v>
      </c>
      <c r="O33" s="5"/>
      <c r="P33" s="5"/>
      <c r="Q33" s="6"/>
      <c r="R33" s="19" t="s">
        <v>72</v>
      </c>
    </row>
    <row r="34" spans="1:18" x14ac:dyDescent="0.2">
      <c r="A34" s="3" t="s">
        <v>54</v>
      </c>
      <c r="B34" s="15"/>
      <c r="C34" s="7" t="s">
        <v>55</v>
      </c>
      <c r="D34" s="8" t="s">
        <v>56</v>
      </c>
      <c r="E34" s="8" t="s">
        <v>57</v>
      </c>
      <c r="F34" s="8" t="s">
        <v>58</v>
      </c>
      <c r="G34" s="8" t="s">
        <v>59</v>
      </c>
      <c r="H34" s="9" t="s">
        <v>60</v>
      </c>
      <c r="I34" s="10" t="s">
        <v>61</v>
      </c>
      <c r="J34" s="3" t="s">
        <v>54</v>
      </c>
      <c r="K34" s="3"/>
      <c r="L34" s="7" t="s">
        <v>55</v>
      </c>
      <c r="M34" s="8" t="s">
        <v>56</v>
      </c>
      <c r="N34" s="8" t="s">
        <v>57</v>
      </c>
      <c r="O34" s="8" t="s">
        <v>58</v>
      </c>
      <c r="P34" s="8" t="s">
        <v>59</v>
      </c>
      <c r="Q34" s="9" t="s">
        <v>60</v>
      </c>
      <c r="R34" s="10" t="s">
        <v>61</v>
      </c>
    </row>
    <row r="35" spans="1:18" ht="85" x14ac:dyDescent="0.2">
      <c r="A35" s="17" t="s">
        <v>62</v>
      </c>
      <c r="B35" s="17" t="s">
        <v>63</v>
      </c>
      <c r="C35" s="12" t="s">
        <v>64</v>
      </c>
      <c r="D35" s="13" t="s">
        <v>65</v>
      </c>
      <c r="E35" s="13" t="s">
        <v>66</v>
      </c>
      <c r="F35" s="13" t="s">
        <v>67</v>
      </c>
      <c r="G35" s="13" t="s">
        <v>68</v>
      </c>
      <c r="H35" s="14" t="s">
        <v>69</v>
      </c>
      <c r="I35" s="11" t="s">
        <v>70</v>
      </c>
      <c r="J35" s="11" t="s">
        <v>62</v>
      </c>
      <c r="K35" s="11" t="s">
        <v>63</v>
      </c>
      <c r="L35" s="12" t="s">
        <v>64</v>
      </c>
      <c r="M35" s="13" t="s">
        <v>65</v>
      </c>
      <c r="N35" s="13" t="s">
        <v>66</v>
      </c>
      <c r="O35" s="13" t="s">
        <v>67</v>
      </c>
      <c r="P35" s="13" t="s">
        <v>68</v>
      </c>
      <c r="Q35" s="14" t="s">
        <v>69</v>
      </c>
      <c r="R35" s="11" t="s">
        <v>70</v>
      </c>
    </row>
    <row r="36" spans="1:18" x14ac:dyDescent="0.2">
      <c r="A36" s="15">
        <v>100</v>
      </c>
      <c r="B36" s="15">
        <v>9.9999999999999995E-7</v>
      </c>
      <c r="C36" s="3">
        <f t="shared" ref="C36:C65" si="0">A36-$B$29*B36</f>
        <v>99.999992000000006</v>
      </c>
      <c r="D36" s="3">
        <f t="shared" ref="D36:D65" si="1">A36+$B$29*B36</f>
        <v>100.00000799999999</v>
      </c>
      <c r="E36" s="3">
        <f>2*SQRT($B$26*B36)</f>
        <v>6.3245553203367588E-3</v>
      </c>
      <c r="F36">
        <f>ERFC(C36/E36)</f>
        <v>0</v>
      </c>
      <c r="G36">
        <f>ERFC(D36/E36)</f>
        <v>0</v>
      </c>
      <c r="H36">
        <f>EXP(A36*$B$30)</f>
        <v>5.5406223843935098E+34</v>
      </c>
      <c r="I36" s="3">
        <f>0.5*$B$23*(F36+H36*G36)-R36</f>
        <v>0</v>
      </c>
      <c r="J36" s="3">
        <f t="shared" ref="J36:J65" si="2">A36</f>
        <v>100</v>
      </c>
      <c r="K36" s="3">
        <f>IF(B36-$B$27&lt;=0,0,B36-$B$27)</f>
        <v>0</v>
      </c>
      <c r="L36" s="3">
        <f t="shared" ref="L36:L65" si="3">J36-$B$29*K36</f>
        <v>100</v>
      </c>
      <c r="M36" s="3">
        <f t="shared" ref="M36:M65" si="4">J36+$B$29*K36</f>
        <v>100</v>
      </c>
      <c r="N36" s="3">
        <f>2*SQRT($B$26*K36)</f>
        <v>0</v>
      </c>
      <c r="O36" t="e">
        <f>ERFC(L36/N36)</f>
        <v>#DIV/0!</v>
      </c>
      <c r="P36" t="e">
        <f>ERFC(M36/N36)</f>
        <v>#DIV/0!</v>
      </c>
      <c r="Q36">
        <f>EXP(J36*$B$30)</f>
        <v>5.5406223843935098E+34</v>
      </c>
      <c r="R36" s="3">
        <f>IF(K36&lt;=0,0,0.5*$B$23*(O36+Q36*P36))</f>
        <v>0</v>
      </c>
    </row>
    <row r="37" spans="1:18" x14ac:dyDescent="0.2">
      <c r="A37" s="15">
        <v>100</v>
      </c>
      <c r="B37" s="15">
        <f>B36+1</f>
        <v>1.0000009999999999</v>
      </c>
      <c r="C37" s="3">
        <f t="shared" si="0"/>
        <v>91.999992000000006</v>
      </c>
      <c r="D37" s="3">
        <f t="shared" si="1"/>
        <v>108.00000799999999</v>
      </c>
      <c r="E37" s="3">
        <f t="shared" ref="E37:E65" si="5">2*SQRT($B$26*B37)</f>
        <v>6.3245584826136279</v>
      </c>
      <c r="F37">
        <f t="shared" ref="F37:F65" si="6">ERFC(C37/E37)</f>
        <v>4.9095622464318054E-94</v>
      </c>
      <c r="G37">
        <f t="shared" ref="G37:G65" si="7">ERFC(D37/E37)</f>
        <v>7.5531295605013254E-129</v>
      </c>
      <c r="H37">
        <f t="shared" ref="H37:H65" si="8">EXP(A37*$B$30)</f>
        <v>5.5406223843935098E+34</v>
      </c>
      <c r="I37" s="3">
        <f t="shared" ref="I37:I65" si="9">0.5*$B$23*(F37+H37*G37)-R37</f>
        <v>4.5472330589728006E-91</v>
      </c>
      <c r="J37" s="3">
        <f t="shared" si="2"/>
        <v>100</v>
      </c>
      <c r="K37" s="3">
        <f t="shared" ref="K37:K65" si="10">IF(B37-$B$27&lt;=0,0,B37-$B$27)</f>
        <v>0</v>
      </c>
      <c r="L37" s="3">
        <f t="shared" si="3"/>
        <v>100</v>
      </c>
      <c r="M37" s="3">
        <f t="shared" si="4"/>
        <v>100</v>
      </c>
      <c r="N37" s="3">
        <f t="shared" ref="N37:N65" si="11">2*SQRT($B$26*K37)</f>
        <v>0</v>
      </c>
      <c r="O37" t="e">
        <f t="shared" ref="O37:O65" si="12">ERFC(L37/N37)</f>
        <v>#DIV/0!</v>
      </c>
      <c r="P37" t="e">
        <f t="shared" ref="P37:P65" si="13">ERFC(M37/N37)</f>
        <v>#DIV/0!</v>
      </c>
      <c r="Q37">
        <f t="shared" ref="Q37:Q65" si="14">EXP(J37*$B$30)</f>
        <v>5.5406223843935098E+34</v>
      </c>
      <c r="R37" s="3">
        <f t="shared" ref="R37:R65" si="15">IF(K37&lt;=0,0,0.5*$B$23*(O37+Q37*P37))</f>
        <v>0</v>
      </c>
    </row>
    <row r="38" spans="1:18" x14ac:dyDescent="0.2">
      <c r="A38" s="15">
        <v>100</v>
      </c>
      <c r="B38" s="15">
        <f t="shared" ref="B38:B65" si="16">B37+1</f>
        <v>2.0000010000000001</v>
      </c>
      <c r="C38" s="3">
        <f t="shared" si="0"/>
        <v>83.999991999999992</v>
      </c>
      <c r="D38" s="3">
        <f t="shared" si="1"/>
        <v>116.00000800000001</v>
      </c>
      <c r="E38" s="3">
        <f t="shared" si="5"/>
        <v>8.9442741460668582</v>
      </c>
      <c r="F38">
        <f t="shared" si="6"/>
        <v>2.9615292820828008E-40</v>
      </c>
      <c r="G38">
        <f t="shared" si="7"/>
        <v>3.8808350927726854E-75</v>
      </c>
      <c r="H38">
        <f t="shared" si="8"/>
        <v>5.5406223843935098E+34</v>
      </c>
      <c r="I38" s="3">
        <f t="shared" si="9"/>
        <v>2.5558767302992109E-37</v>
      </c>
      <c r="J38" s="3">
        <f t="shared" si="2"/>
        <v>100</v>
      </c>
      <c r="K38" s="3">
        <f t="shared" si="10"/>
        <v>0</v>
      </c>
      <c r="L38" s="3">
        <f t="shared" si="3"/>
        <v>100</v>
      </c>
      <c r="M38" s="3">
        <f t="shared" si="4"/>
        <v>100</v>
      </c>
      <c r="N38" s="3">
        <f t="shared" si="11"/>
        <v>0</v>
      </c>
      <c r="O38" t="e">
        <f t="shared" si="12"/>
        <v>#DIV/0!</v>
      </c>
      <c r="P38" t="e">
        <f t="shared" si="13"/>
        <v>#DIV/0!</v>
      </c>
      <c r="Q38">
        <f t="shared" si="14"/>
        <v>5.5406223843935098E+34</v>
      </c>
      <c r="R38" s="3">
        <f t="shared" si="15"/>
        <v>0</v>
      </c>
    </row>
    <row r="39" spans="1:18" x14ac:dyDescent="0.2">
      <c r="A39" s="15">
        <v>100</v>
      </c>
      <c r="B39" s="15">
        <f t="shared" si="16"/>
        <v>3.0000010000000001</v>
      </c>
      <c r="C39" s="3">
        <f t="shared" si="0"/>
        <v>75.999991999999992</v>
      </c>
      <c r="D39" s="3">
        <f t="shared" si="1"/>
        <v>124.00000800000001</v>
      </c>
      <c r="E39" s="3">
        <f t="shared" si="5"/>
        <v>10.95445297584503</v>
      </c>
      <c r="F39">
        <f t="shared" si="6"/>
        <v>1.0040901563555061E-22</v>
      </c>
      <c r="G39">
        <f t="shared" si="7"/>
        <v>1.1177053384150889E-57</v>
      </c>
      <c r="H39">
        <f t="shared" si="8"/>
        <v>5.5406223843935098E+34</v>
      </c>
      <c r="I39" s="3">
        <f t="shared" si="9"/>
        <v>8.1168423903669119E-20</v>
      </c>
      <c r="J39" s="3">
        <f t="shared" si="2"/>
        <v>100</v>
      </c>
      <c r="K39" s="3">
        <f t="shared" si="10"/>
        <v>0</v>
      </c>
      <c r="L39" s="3">
        <f t="shared" si="3"/>
        <v>100</v>
      </c>
      <c r="M39" s="3">
        <f t="shared" si="4"/>
        <v>100</v>
      </c>
      <c r="N39" s="3">
        <f t="shared" si="11"/>
        <v>0</v>
      </c>
      <c r="O39" t="e">
        <f t="shared" si="12"/>
        <v>#DIV/0!</v>
      </c>
      <c r="P39" t="e">
        <f t="shared" si="13"/>
        <v>#DIV/0!</v>
      </c>
      <c r="Q39">
        <f t="shared" si="14"/>
        <v>5.5406223843935098E+34</v>
      </c>
      <c r="R39" s="3">
        <f t="shared" si="15"/>
        <v>0</v>
      </c>
    </row>
    <row r="40" spans="1:18" x14ac:dyDescent="0.2">
      <c r="A40" s="15">
        <v>100</v>
      </c>
      <c r="B40" s="15">
        <f t="shared" si="16"/>
        <v>4.0000010000000001</v>
      </c>
      <c r="C40" s="3">
        <f t="shared" si="0"/>
        <v>67.999991999999992</v>
      </c>
      <c r="D40" s="3">
        <f t="shared" si="1"/>
        <v>132.00000800000001</v>
      </c>
      <c r="E40" s="3">
        <f t="shared" si="5"/>
        <v>12.649112221812249</v>
      </c>
      <c r="F40">
        <f t="shared" si="6"/>
        <v>2.9017385907503209E-14</v>
      </c>
      <c r="G40">
        <f t="shared" si="7"/>
        <v>2.7307160521110304E-49</v>
      </c>
      <c r="H40">
        <f t="shared" si="8"/>
        <v>5.5406223843935098E+34</v>
      </c>
      <c r="I40" s="3">
        <f t="shared" si="9"/>
        <v>2.2073626195626131E-11</v>
      </c>
      <c r="J40" s="3">
        <f t="shared" si="2"/>
        <v>100</v>
      </c>
      <c r="K40" s="3">
        <f t="shared" si="10"/>
        <v>0</v>
      </c>
      <c r="L40" s="3">
        <f t="shared" si="3"/>
        <v>100</v>
      </c>
      <c r="M40" s="3">
        <f t="shared" si="4"/>
        <v>100</v>
      </c>
      <c r="N40" s="3">
        <f t="shared" si="11"/>
        <v>0</v>
      </c>
      <c r="O40" t="e">
        <f t="shared" si="12"/>
        <v>#DIV/0!</v>
      </c>
      <c r="P40" t="e">
        <f t="shared" si="13"/>
        <v>#DIV/0!</v>
      </c>
      <c r="Q40">
        <f t="shared" si="14"/>
        <v>5.5406223843935098E+34</v>
      </c>
      <c r="R40" s="3">
        <f t="shared" si="15"/>
        <v>0</v>
      </c>
    </row>
    <row r="41" spans="1:18" x14ac:dyDescent="0.2">
      <c r="A41" s="15">
        <v>100</v>
      </c>
      <c r="B41" s="15">
        <f t="shared" si="16"/>
        <v>5.0000010000000001</v>
      </c>
      <c r="C41" s="3">
        <f t="shared" si="0"/>
        <v>59.999991999999999</v>
      </c>
      <c r="D41" s="3">
        <f t="shared" si="1"/>
        <v>140.00000800000001</v>
      </c>
      <c r="E41" s="3">
        <f t="shared" si="5"/>
        <v>14.142137037944442</v>
      </c>
      <c r="F41">
        <f t="shared" si="6"/>
        <v>1.9731923026167662E-9</v>
      </c>
      <c r="G41">
        <f t="shared" si="7"/>
        <v>1.5587205231696829E-44</v>
      </c>
      <c r="H41">
        <f t="shared" si="8"/>
        <v>5.5406223843935098E+34</v>
      </c>
      <c r="I41" s="3">
        <f t="shared" si="9"/>
        <v>1.4184102423927585E-6</v>
      </c>
      <c r="J41" s="3">
        <f t="shared" si="2"/>
        <v>100</v>
      </c>
      <c r="K41" s="3">
        <f t="shared" si="10"/>
        <v>0</v>
      </c>
      <c r="L41" s="3">
        <f t="shared" si="3"/>
        <v>100</v>
      </c>
      <c r="M41" s="3">
        <f t="shared" si="4"/>
        <v>100</v>
      </c>
      <c r="N41" s="3">
        <f t="shared" si="11"/>
        <v>0</v>
      </c>
      <c r="O41" t="e">
        <f t="shared" si="12"/>
        <v>#DIV/0!</v>
      </c>
      <c r="P41" t="e">
        <f t="shared" si="13"/>
        <v>#DIV/0!</v>
      </c>
      <c r="Q41">
        <f t="shared" si="14"/>
        <v>5.5406223843935098E+34</v>
      </c>
      <c r="R41" s="3">
        <f t="shared" si="15"/>
        <v>0</v>
      </c>
    </row>
    <row r="42" spans="1:18" x14ac:dyDescent="0.2">
      <c r="A42" s="15">
        <v>100</v>
      </c>
      <c r="B42" s="15">
        <f t="shared" si="16"/>
        <v>6.0000010000000001</v>
      </c>
      <c r="C42" s="3">
        <f t="shared" si="0"/>
        <v>51.999991999999999</v>
      </c>
      <c r="D42" s="3">
        <f t="shared" si="1"/>
        <v>148.00000800000001</v>
      </c>
      <c r="E42" s="3">
        <f t="shared" si="5"/>
        <v>15.491934675824062</v>
      </c>
      <c r="F42">
        <f t="shared" si="6"/>
        <v>2.0652972877093329E-6</v>
      </c>
      <c r="G42">
        <f t="shared" si="7"/>
        <v>1.3561697884459353E-41</v>
      </c>
      <c r="H42">
        <f t="shared" si="8"/>
        <v>5.5406223843935098E+34</v>
      </c>
      <c r="I42" s="3">
        <f t="shared" si="9"/>
        <v>1.4083498781997546E-3</v>
      </c>
      <c r="J42" s="3">
        <f t="shared" si="2"/>
        <v>100</v>
      </c>
      <c r="K42" s="3">
        <f t="shared" si="10"/>
        <v>0</v>
      </c>
      <c r="L42" s="3">
        <f t="shared" si="3"/>
        <v>100</v>
      </c>
      <c r="M42" s="3">
        <f t="shared" si="4"/>
        <v>100</v>
      </c>
      <c r="N42" s="3">
        <f t="shared" si="11"/>
        <v>0</v>
      </c>
      <c r="O42" t="e">
        <f t="shared" si="12"/>
        <v>#DIV/0!</v>
      </c>
      <c r="P42" t="e">
        <f t="shared" si="13"/>
        <v>#DIV/0!</v>
      </c>
      <c r="Q42">
        <f t="shared" si="14"/>
        <v>5.5406223843935098E+34</v>
      </c>
      <c r="R42" s="3">
        <f t="shared" si="15"/>
        <v>0</v>
      </c>
    </row>
    <row r="43" spans="1:18" x14ac:dyDescent="0.2">
      <c r="A43" s="15">
        <v>100</v>
      </c>
      <c r="B43" s="15">
        <f t="shared" si="16"/>
        <v>7.0000010000000001</v>
      </c>
      <c r="C43" s="3">
        <f t="shared" si="0"/>
        <v>43.999991999999999</v>
      </c>
      <c r="D43" s="3">
        <f t="shared" si="1"/>
        <v>156.00000800000001</v>
      </c>
      <c r="E43" s="3">
        <f t="shared" si="5"/>
        <v>16.733201725910078</v>
      </c>
      <c r="F43">
        <f t="shared" si="6"/>
        <v>2.0026832142990778E-4</v>
      </c>
      <c r="G43">
        <f t="shared" si="7"/>
        <v>1.0790035452632152E-39</v>
      </c>
      <c r="H43">
        <f t="shared" si="8"/>
        <v>5.5406223843935098E+34</v>
      </c>
      <c r="I43" s="3">
        <f t="shared" si="9"/>
        <v>0.13002591669358052</v>
      </c>
      <c r="J43" s="3">
        <f t="shared" si="2"/>
        <v>100</v>
      </c>
      <c r="K43" s="3">
        <f t="shared" si="10"/>
        <v>0</v>
      </c>
      <c r="L43" s="3">
        <f t="shared" si="3"/>
        <v>100</v>
      </c>
      <c r="M43" s="3">
        <f t="shared" si="4"/>
        <v>100</v>
      </c>
      <c r="N43" s="3">
        <f t="shared" si="11"/>
        <v>0</v>
      </c>
      <c r="O43" t="e">
        <f t="shared" si="12"/>
        <v>#DIV/0!</v>
      </c>
      <c r="P43" t="e">
        <f t="shared" si="13"/>
        <v>#DIV/0!</v>
      </c>
      <c r="Q43">
        <f t="shared" si="14"/>
        <v>5.5406223843935098E+34</v>
      </c>
      <c r="R43" s="3">
        <f t="shared" si="15"/>
        <v>0</v>
      </c>
    </row>
    <row r="44" spans="1:18" x14ac:dyDescent="0.2">
      <c r="A44" s="15">
        <v>100</v>
      </c>
      <c r="B44" s="15">
        <f t="shared" si="16"/>
        <v>8.000001000000001</v>
      </c>
      <c r="C44" s="3">
        <f t="shared" si="0"/>
        <v>35.999991999999992</v>
      </c>
      <c r="D44" s="3">
        <f t="shared" si="1"/>
        <v>164.00000800000001</v>
      </c>
      <c r="E44" s="3">
        <f t="shared" si="5"/>
        <v>17.888544938032272</v>
      </c>
      <c r="F44">
        <f t="shared" si="6"/>
        <v>4.4265371224155624E-3</v>
      </c>
      <c r="G44">
        <f t="shared" si="7"/>
        <v>1.9237994693125926E-38</v>
      </c>
      <c r="H44">
        <f t="shared" si="8"/>
        <v>5.5406223843935098E+34</v>
      </c>
      <c r="I44" s="3">
        <f t="shared" si="9"/>
        <v>2.7462208813456663</v>
      </c>
      <c r="J44" s="3">
        <f t="shared" si="2"/>
        <v>100</v>
      </c>
      <c r="K44" s="3">
        <f t="shared" si="10"/>
        <v>0</v>
      </c>
      <c r="L44" s="3">
        <f t="shared" si="3"/>
        <v>100</v>
      </c>
      <c r="M44" s="3">
        <f t="shared" si="4"/>
        <v>100</v>
      </c>
      <c r="N44" s="3">
        <f t="shared" si="11"/>
        <v>0</v>
      </c>
      <c r="O44" t="e">
        <f t="shared" si="12"/>
        <v>#DIV/0!</v>
      </c>
      <c r="P44" t="e">
        <f t="shared" si="13"/>
        <v>#DIV/0!</v>
      </c>
      <c r="Q44">
        <f t="shared" si="14"/>
        <v>5.5406223843935098E+34</v>
      </c>
      <c r="R44" s="3">
        <f t="shared" si="15"/>
        <v>0</v>
      </c>
    </row>
    <row r="45" spans="1:18" x14ac:dyDescent="0.2">
      <c r="A45" s="15">
        <v>100</v>
      </c>
      <c r="B45" s="15">
        <f t="shared" si="16"/>
        <v>9.000001000000001</v>
      </c>
      <c r="C45" s="3">
        <f t="shared" si="0"/>
        <v>27.999991999999992</v>
      </c>
      <c r="D45" s="3">
        <f t="shared" si="1"/>
        <v>172.00000800000001</v>
      </c>
      <c r="E45" s="3">
        <f t="shared" si="5"/>
        <v>18.973667015102802</v>
      </c>
      <c r="F45">
        <f t="shared" si="6"/>
        <v>3.6888490088859006E-2</v>
      </c>
      <c r="G45">
        <f t="shared" si="7"/>
        <v>1.264997656880511E-37</v>
      </c>
      <c r="H45">
        <f t="shared" si="8"/>
        <v>5.5406223843935098E+34</v>
      </c>
      <c r="I45" s="3">
        <f t="shared" si="9"/>
        <v>21.948682211388252</v>
      </c>
      <c r="J45" s="3">
        <f t="shared" si="2"/>
        <v>100</v>
      </c>
      <c r="K45" s="3">
        <f t="shared" si="10"/>
        <v>0</v>
      </c>
      <c r="L45" s="3">
        <f t="shared" si="3"/>
        <v>100</v>
      </c>
      <c r="M45" s="3">
        <f t="shared" si="4"/>
        <v>100</v>
      </c>
      <c r="N45" s="3">
        <f t="shared" si="11"/>
        <v>0</v>
      </c>
      <c r="O45" t="e">
        <f t="shared" si="12"/>
        <v>#DIV/0!</v>
      </c>
      <c r="P45" t="e">
        <f t="shared" si="13"/>
        <v>#DIV/0!</v>
      </c>
      <c r="Q45">
        <f t="shared" si="14"/>
        <v>5.5406223843935098E+34</v>
      </c>
      <c r="R45" s="3">
        <f t="shared" si="15"/>
        <v>0</v>
      </c>
    </row>
    <row r="46" spans="1:18" x14ac:dyDescent="0.2">
      <c r="A46" s="15">
        <v>100</v>
      </c>
      <c r="B46" s="15">
        <f t="shared" si="16"/>
        <v>10.000001000000001</v>
      </c>
      <c r="C46" s="3">
        <f t="shared" si="0"/>
        <v>19.999991999999992</v>
      </c>
      <c r="D46" s="3">
        <f t="shared" si="1"/>
        <v>180.00000800000001</v>
      </c>
      <c r="E46" s="3">
        <f t="shared" si="5"/>
        <v>20.000000999999976</v>
      </c>
      <c r="F46">
        <f t="shared" si="6"/>
        <v>0.15729939384873337</v>
      </c>
      <c r="G46">
        <f t="shared" si="7"/>
        <v>4.1370354925511709E-37</v>
      </c>
      <c r="H46">
        <f t="shared" si="8"/>
        <v>5.5406223843935098E+34</v>
      </c>
      <c r="I46" s="3">
        <f t="shared" si="9"/>
        <v>90.110572651896405</v>
      </c>
      <c r="J46" s="3">
        <f t="shared" si="2"/>
        <v>100</v>
      </c>
      <c r="K46" s="3">
        <f t="shared" si="10"/>
        <v>1.0000000010279564E-6</v>
      </c>
      <c r="L46" s="3">
        <f t="shared" si="3"/>
        <v>99.999991999999992</v>
      </c>
      <c r="M46" s="3">
        <f t="shared" si="4"/>
        <v>100.00000800000001</v>
      </c>
      <c r="N46" s="3">
        <f t="shared" si="11"/>
        <v>6.3245553235874424E-3</v>
      </c>
      <c r="O46">
        <f t="shared" si="12"/>
        <v>0</v>
      </c>
      <c r="P46">
        <f t="shared" si="13"/>
        <v>0</v>
      </c>
      <c r="Q46">
        <f t="shared" si="14"/>
        <v>5.5406223843935098E+34</v>
      </c>
      <c r="R46" s="3">
        <f t="shared" si="15"/>
        <v>0</v>
      </c>
    </row>
    <row r="47" spans="1:18" x14ac:dyDescent="0.2">
      <c r="A47" s="15">
        <v>100</v>
      </c>
      <c r="B47" s="15">
        <f t="shared" si="16"/>
        <v>11.000001000000001</v>
      </c>
      <c r="C47" s="3">
        <f t="shared" si="0"/>
        <v>11.999991999999992</v>
      </c>
      <c r="D47" s="3">
        <f t="shared" si="1"/>
        <v>188.00000800000001</v>
      </c>
      <c r="E47" s="3">
        <f t="shared" si="5"/>
        <v>20.976177916865598</v>
      </c>
      <c r="F47">
        <f t="shared" si="6"/>
        <v>0.41849256483058733</v>
      </c>
      <c r="G47">
        <f t="shared" si="7"/>
        <v>8.1402925343836458E-37</v>
      </c>
      <c r="H47">
        <f t="shared" si="8"/>
        <v>5.5406223843935098E+34</v>
      </c>
      <c r="I47" s="3">
        <f t="shared" si="9"/>
        <v>231.79742593105237</v>
      </c>
      <c r="J47" s="3">
        <f t="shared" si="2"/>
        <v>100</v>
      </c>
      <c r="K47" s="3">
        <f t="shared" si="10"/>
        <v>1.000001000000001</v>
      </c>
      <c r="L47" s="3">
        <f t="shared" si="3"/>
        <v>91.999991999999992</v>
      </c>
      <c r="M47" s="3">
        <f t="shared" si="4"/>
        <v>108.00000800000001</v>
      </c>
      <c r="N47" s="3">
        <f t="shared" si="11"/>
        <v>6.3245584826136314</v>
      </c>
      <c r="O47">
        <f t="shared" si="12"/>
        <v>4.9095622464333436E-94</v>
      </c>
      <c r="P47">
        <f t="shared" si="13"/>
        <v>7.5531295605034742E-129</v>
      </c>
      <c r="Q47">
        <f t="shared" si="14"/>
        <v>5.5406223843935098E+34</v>
      </c>
      <c r="R47" s="3">
        <f t="shared" si="15"/>
        <v>4.5472330589741648E-91</v>
      </c>
    </row>
    <row r="48" spans="1:18" x14ac:dyDescent="0.2">
      <c r="A48" s="15">
        <v>100</v>
      </c>
      <c r="B48" s="15">
        <f t="shared" si="16"/>
        <v>12.000001000000001</v>
      </c>
      <c r="C48" s="3">
        <f t="shared" si="0"/>
        <v>3.9999919999999918</v>
      </c>
      <c r="D48" s="3">
        <f t="shared" si="1"/>
        <v>196.00000800000001</v>
      </c>
      <c r="E48" s="3">
        <f t="shared" si="5"/>
        <v>21.908903213077554</v>
      </c>
      <c r="F48">
        <f t="shared" si="6"/>
        <v>0.79625382155811109</v>
      </c>
      <c r="G48">
        <f t="shared" si="7"/>
        <v>1.0941643257439601E-36</v>
      </c>
      <c r="H48">
        <f t="shared" si="8"/>
        <v>5.5406223843935098E+34</v>
      </c>
      <c r="I48" s="3">
        <f t="shared" si="9"/>
        <v>428.4386675561646</v>
      </c>
      <c r="J48" s="3">
        <f t="shared" si="2"/>
        <v>100</v>
      </c>
      <c r="K48" s="3">
        <f t="shared" si="10"/>
        <v>2.000001000000001</v>
      </c>
      <c r="L48" s="3">
        <f t="shared" si="3"/>
        <v>83.999991999999992</v>
      </c>
      <c r="M48" s="3">
        <f t="shared" si="4"/>
        <v>116.00000800000001</v>
      </c>
      <c r="N48" s="3">
        <f t="shared" si="11"/>
        <v>8.9442741460668582</v>
      </c>
      <c r="O48">
        <f t="shared" si="12"/>
        <v>2.9615292820828008E-40</v>
      </c>
      <c r="P48">
        <f t="shared" si="13"/>
        <v>3.8808350927726854E-75</v>
      </c>
      <c r="Q48">
        <f t="shared" si="14"/>
        <v>5.5406223843935098E+34</v>
      </c>
      <c r="R48" s="3">
        <f t="shared" si="15"/>
        <v>2.5558767302992109E-37</v>
      </c>
    </row>
    <row r="49" spans="1:18" x14ac:dyDescent="0.2">
      <c r="A49" s="15">
        <v>100</v>
      </c>
      <c r="B49" s="15">
        <f t="shared" si="16"/>
        <v>13.000001000000001</v>
      </c>
      <c r="C49" s="3">
        <f t="shared" si="0"/>
        <v>-4.0000080000000082</v>
      </c>
      <c r="D49" s="3">
        <f t="shared" si="1"/>
        <v>204.00000800000001</v>
      </c>
      <c r="E49" s="3">
        <f t="shared" si="5"/>
        <v>22.803509379040761</v>
      </c>
      <c r="F49">
        <f t="shared" si="6"/>
        <v>1.1959197190126745</v>
      </c>
      <c r="G49">
        <f t="shared" si="7"/>
        <v>1.0969905515517939E-36</v>
      </c>
      <c r="H49">
        <f t="shared" si="8"/>
        <v>5.5406223843935098E+34</v>
      </c>
      <c r="I49" s="3">
        <f t="shared" si="9"/>
        <v>628.3499115333176</v>
      </c>
      <c r="J49" s="3">
        <f t="shared" si="2"/>
        <v>100</v>
      </c>
      <c r="K49" s="3">
        <f t="shared" si="10"/>
        <v>3.000001000000001</v>
      </c>
      <c r="L49" s="3">
        <f t="shared" si="3"/>
        <v>75.999991999999992</v>
      </c>
      <c r="M49" s="3">
        <f t="shared" si="4"/>
        <v>124.00000800000001</v>
      </c>
      <c r="N49" s="3">
        <f t="shared" si="11"/>
        <v>10.95445297584503</v>
      </c>
      <c r="O49">
        <f t="shared" si="12"/>
        <v>1.0040901563555061E-22</v>
      </c>
      <c r="P49">
        <f t="shared" si="13"/>
        <v>1.1177053384150889E-57</v>
      </c>
      <c r="Q49">
        <f t="shared" si="14"/>
        <v>5.5406223843935098E+34</v>
      </c>
      <c r="R49" s="3">
        <f t="shared" si="15"/>
        <v>8.1168423903669119E-20</v>
      </c>
    </row>
    <row r="50" spans="1:18" x14ac:dyDescent="0.2">
      <c r="A50" s="15">
        <v>100</v>
      </c>
      <c r="B50" s="15">
        <f t="shared" si="16"/>
        <v>14.000001000000001</v>
      </c>
      <c r="C50" s="3">
        <f t="shared" si="0"/>
        <v>-12.000008000000008</v>
      </c>
      <c r="D50" s="3">
        <f t="shared" si="1"/>
        <v>212.00000800000001</v>
      </c>
      <c r="E50" s="3">
        <f t="shared" si="5"/>
        <v>23.664319977552704</v>
      </c>
      <c r="F50">
        <f t="shared" si="6"/>
        <v>1.5267108137862588</v>
      </c>
      <c r="G50">
        <f t="shared" si="7"/>
        <v>8.735425298163061E-37</v>
      </c>
      <c r="H50">
        <f t="shared" si="8"/>
        <v>5.5406223843935098E+34</v>
      </c>
      <c r="I50" s="3">
        <f t="shared" si="9"/>
        <v>787.55525336520714</v>
      </c>
      <c r="J50" s="3">
        <f t="shared" si="2"/>
        <v>100</v>
      </c>
      <c r="K50" s="3">
        <f t="shared" si="10"/>
        <v>4.000001000000001</v>
      </c>
      <c r="L50" s="3">
        <f t="shared" si="3"/>
        <v>67.999991999999992</v>
      </c>
      <c r="M50" s="3">
        <f t="shared" si="4"/>
        <v>132.00000800000001</v>
      </c>
      <c r="N50" s="3">
        <f t="shared" si="11"/>
        <v>12.649112221812251</v>
      </c>
      <c r="O50">
        <f t="shared" si="12"/>
        <v>2.9017385907503543E-14</v>
      </c>
      <c r="P50">
        <f t="shared" si="13"/>
        <v>2.7307160521111482E-49</v>
      </c>
      <c r="Q50">
        <f t="shared" si="14"/>
        <v>5.5406223843935098E+34</v>
      </c>
      <c r="R50" s="3">
        <f t="shared" si="15"/>
        <v>2.2073626195626622E-11</v>
      </c>
    </row>
    <row r="51" spans="1:18" x14ac:dyDescent="0.2">
      <c r="A51" s="15">
        <v>100</v>
      </c>
      <c r="B51" s="15">
        <f t="shared" si="16"/>
        <v>15.000001000000001</v>
      </c>
      <c r="C51" s="3">
        <f t="shared" si="0"/>
        <v>-20.000008000000008</v>
      </c>
      <c r="D51" s="3">
        <f t="shared" si="1"/>
        <v>220.00000800000001</v>
      </c>
      <c r="E51" s="3">
        <f t="shared" si="5"/>
        <v>24.494898244328347</v>
      </c>
      <c r="F51">
        <f t="shared" si="6"/>
        <v>1.7517870944508038</v>
      </c>
      <c r="G51">
        <f t="shared" si="7"/>
        <v>5.7854636737432838E-37</v>
      </c>
      <c r="H51">
        <f t="shared" si="8"/>
        <v>5.5406223843935098E+34</v>
      </c>
      <c r="I51" s="3">
        <f t="shared" si="9"/>
        <v>891.92108057441055</v>
      </c>
      <c r="J51" s="3">
        <f t="shared" si="2"/>
        <v>100</v>
      </c>
      <c r="K51" s="3">
        <f t="shared" si="10"/>
        <v>5.000001000000001</v>
      </c>
      <c r="L51" s="3">
        <f t="shared" si="3"/>
        <v>59.999991999999992</v>
      </c>
      <c r="M51" s="3">
        <f t="shared" si="4"/>
        <v>140.00000800000001</v>
      </c>
      <c r="N51" s="3">
        <f t="shared" si="11"/>
        <v>14.142137037944444</v>
      </c>
      <c r="O51">
        <f t="shared" si="12"/>
        <v>1.9731923026167803E-9</v>
      </c>
      <c r="P51">
        <f t="shared" si="13"/>
        <v>1.5587205231696829E-44</v>
      </c>
      <c r="Q51">
        <f t="shared" si="14"/>
        <v>5.5406223843935098E+34</v>
      </c>
      <c r="R51" s="3">
        <f t="shared" si="15"/>
        <v>1.4184102423927655E-6</v>
      </c>
    </row>
    <row r="52" spans="1:18" x14ac:dyDescent="0.2">
      <c r="A52" s="15">
        <v>100</v>
      </c>
      <c r="B52" s="15">
        <f t="shared" si="16"/>
        <v>16.000001000000001</v>
      </c>
      <c r="C52" s="3">
        <f t="shared" si="0"/>
        <v>-28.000008000000008</v>
      </c>
      <c r="D52" s="3">
        <f t="shared" si="1"/>
        <v>228.00000800000001</v>
      </c>
      <c r="E52" s="3">
        <f t="shared" si="5"/>
        <v>25.298222071916438</v>
      </c>
      <c r="F52">
        <f t="shared" si="6"/>
        <v>1.8824752252586767</v>
      </c>
      <c r="G52">
        <f t="shared" si="7"/>
        <v>3.2989609839708508E-37</v>
      </c>
      <c r="H52">
        <f t="shared" si="8"/>
        <v>5.5406223843935098E+34</v>
      </c>
      <c r="I52" s="3">
        <f t="shared" si="9"/>
        <v>950.37535281597513</v>
      </c>
      <c r="J52" s="3">
        <f t="shared" si="2"/>
        <v>100</v>
      </c>
      <c r="K52" s="3">
        <f t="shared" si="10"/>
        <v>6.000001000000001</v>
      </c>
      <c r="L52" s="3">
        <f t="shared" si="3"/>
        <v>51.999991999999992</v>
      </c>
      <c r="M52" s="3">
        <f t="shared" si="4"/>
        <v>148.00000800000001</v>
      </c>
      <c r="N52" s="3">
        <f t="shared" si="11"/>
        <v>15.491934675824064</v>
      </c>
      <c r="O52">
        <f t="shared" si="12"/>
        <v>2.0652972877093481E-6</v>
      </c>
      <c r="P52">
        <f t="shared" si="13"/>
        <v>1.3561697884459353E-41</v>
      </c>
      <c r="Q52">
        <f t="shared" si="14"/>
        <v>5.5406223843935098E+34</v>
      </c>
      <c r="R52" s="3">
        <f t="shared" si="15"/>
        <v>1.4083498781997622E-3</v>
      </c>
    </row>
    <row r="53" spans="1:18" x14ac:dyDescent="0.2">
      <c r="A53" s="15">
        <v>100</v>
      </c>
      <c r="B53" s="15">
        <f t="shared" si="16"/>
        <v>17.000001000000001</v>
      </c>
      <c r="C53" s="3">
        <f t="shared" si="0"/>
        <v>-36.000008000000008</v>
      </c>
      <c r="D53" s="3">
        <f t="shared" si="1"/>
        <v>236.00000800000001</v>
      </c>
      <c r="E53" s="3">
        <f t="shared" si="5"/>
        <v>26.076810387775573</v>
      </c>
      <c r="F53">
        <f t="shared" si="6"/>
        <v>1.9491062413627604</v>
      </c>
      <c r="G53">
        <f t="shared" si="7"/>
        <v>1.6629629262317649E-37</v>
      </c>
      <c r="H53">
        <f t="shared" si="8"/>
        <v>5.5406223843935098E+34</v>
      </c>
      <c r="I53" s="3">
        <f t="shared" si="9"/>
        <v>979.03001957143476</v>
      </c>
      <c r="J53" s="3">
        <f t="shared" si="2"/>
        <v>100</v>
      </c>
      <c r="K53" s="3">
        <f t="shared" si="10"/>
        <v>7.000001000000001</v>
      </c>
      <c r="L53" s="3">
        <f t="shared" si="3"/>
        <v>43.999991999999992</v>
      </c>
      <c r="M53" s="3">
        <f t="shared" si="4"/>
        <v>156.00000800000001</v>
      </c>
      <c r="N53" s="3">
        <f t="shared" si="11"/>
        <v>16.733201725910078</v>
      </c>
      <c r="O53">
        <f t="shared" si="12"/>
        <v>2.0026832142990835E-4</v>
      </c>
      <c r="P53">
        <f t="shared" si="13"/>
        <v>1.0790035452632152E-39</v>
      </c>
      <c r="Q53">
        <f t="shared" si="14"/>
        <v>5.5406223843935098E+34</v>
      </c>
      <c r="R53" s="3">
        <f t="shared" si="15"/>
        <v>0.1300259166935808</v>
      </c>
    </row>
    <row r="54" spans="1:18" x14ac:dyDescent="0.2">
      <c r="A54" s="15">
        <v>100</v>
      </c>
      <c r="B54" s="15">
        <f t="shared" si="16"/>
        <v>18.000001000000001</v>
      </c>
      <c r="C54" s="3">
        <f t="shared" si="0"/>
        <v>-44.000008000000008</v>
      </c>
      <c r="D54" s="3">
        <f t="shared" si="1"/>
        <v>244.00000800000001</v>
      </c>
      <c r="E54" s="3">
        <f t="shared" si="5"/>
        <v>26.832816475353457</v>
      </c>
      <c r="F54">
        <f t="shared" si="6"/>
        <v>1.9796051791855858</v>
      </c>
      <c r="G54">
        <f t="shared" si="7"/>
        <v>7.5645910002785481E-38</v>
      </c>
      <c r="H54">
        <f t="shared" si="8"/>
        <v>5.5406223843935098E+34</v>
      </c>
      <c r="I54" s="3">
        <f t="shared" si="9"/>
        <v>989.15199582269338</v>
      </c>
      <c r="J54" s="3">
        <f t="shared" si="2"/>
        <v>100</v>
      </c>
      <c r="K54" s="3">
        <f t="shared" si="10"/>
        <v>8.000001000000001</v>
      </c>
      <c r="L54" s="3">
        <f t="shared" si="3"/>
        <v>35.999991999999992</v>
      </c>
      <c r="M54" s="3">
        <f t="shared" si="4"/>
        <v>164.00000800000001</v>
      </c>
      <c r="N54" s="3">
        <f t="shared" si="11"/>
        <v>17.888544938032272</v>
      </c>
      <c r="O54">
        <f t="shared" si="12"/>
        <v>4.4265371224155624E-3</v>
      </c>
      <c r="P54">
        <f t="shared" si="13"/>
        <v>1.9237994693125926E-38</v>
      </c>
      <c r="Q54">
        <f t="shared" si="14"/>
        <v>5.5406223843935098E+34</v>
      </c>
      <c r="R54" s="3">
        <f t="shared" si="15"/>
        <v>2.7462208813456663</v>
      </c>
    </row>
    <row r="55" spans="1:18" x14ac:dyDescent="0.2">
      <c r="A55" s="15">
        <v>100</v>
      </c>
      <c r="B55" s="15">
        <f t="shared" si="16"/>
        <v>19.000001000000001</v>
      </c>
      <c r="C55" s="3">
        <f t="shared" si="0"/>
        <v>-52.000008000000008</v>
      </c>
      <c r="D55" s="3">
        <f t="shared" si="1"/>
        <v>252.00000800000001</v>
      </c>
      <c r="E55" s="3">
        <f t="shared" si="5"/>
        <v>27.568098229656684</v>
      </c>
      <c r="F55">
        <f t="shared" si="6"/>
        <v>1.9923592129108356</v>
      </c>
      <c r="G55">
        <f t="shared" si="7"/>
        <v>3.156002442344523E-38</v>
      </c>
      <c r="H55">
        <f t="shared" si="8"/>
        <v>5.5406223843935098E+34</v>
      </c>
      <c r="I55" s="3">
        <f t="shared" si="9"/>
        <v>975.10523513289229</v>
      </c>
      <c r="J55" s="3">
        <f t="shared" si="2"/>
        <v>100</v>
      </c>
      <c r="K55" s="3">
        <f t="shared" si="10"/>
        <v>9.000001000000001</v>
      </c>
      <c r="L55" s="3">
        <f t="shared" si="3"/>
        <v>27.999991999999992</v>
      </c>
      <c r="M55" s="3">
        <f t="shared" si="4"/>
        <v>172.00000800000001</v>
      </c>
      <c r="N55" s="3">
        <f t="shared" si="11"/>
        <v>18.973667015102802</v>
      </c>
      <c r="O55">
        <f t="shared" si="12"/>
        <v>3.6888490088859006E-2</v>
      </c>
      <c r="P55">
        <f t="shared" si="13"/>
        <v>1.264997656880511E-37</v>
      </c>
      <c r="Q55">
        <f t="shared" si="14"/>
        <v>5.5406223843935098E+34</v>
      </c>
      <c r="R55" s="3">
        <f t="shared" si="15"/>
        <v>21.948682211388252</v>
      </c>
    </row>
    <row r="56" spans="1:18" x14ac:dyDescent="0.2">
      <c r="A56" s="15">
        <v>100</v>
      </c>
      <c r="B56" s="15">
        <f t="shared" si="16"/>
        <v>20.000001000000001</v>
      </c>
      <c r="C56" s="3">
        <f t="shared" si="0"/>
        <v>-60.000008000000008</v>
      </c>
      <c r="D56" s="3">
        <f t="shared" si="1"/>
        <v>260.00000799999998</v>
      </c>
      <c r="E56" s="3">
        <f t="shared" si="5"/>
        <v>28.284271954568673</v>
      </c>
      <c r="F56">
        <f t="shared" si="6"/>
        <v>1.9973002068174399</v>
      </c>
      <c r="G56">
        <f t="shared" si="7"/>
        <v>1.2234316800863938E-38</v>
      </c>
      <c r="H56">
        <f t="shared" si="8"/>
        <v>5.5406223843935098E+34</v>
      </c>
      <c r="I56" s="3">
        <f t="shared" si="9"/>
        <v>908.87845940444674</v>
      </c>
      <c r="J56" s="3">
        <f t="shared" si="2"/>
        <v>100</v>
      </c>
      <c r="K56" s="3">
        <f t="shared" si="10"/>
        <v>10.000001000000001</v>
      </c>
      <c r="L56" s="3">
        <f t="shared" si="3"/>
        <v>19.999991999999992</v>
      </c>
      <c r="M56" s="3">
        <f t="shared" si="4"/>
        <v>180.00000800000001</v>
      </c>
      <c r="N56" s="3">
        <f t="shared" si="11"/>
        <v>20.000000999999976</v>
      </c>
      <c r="O56">
        <f t="shared" si="12"/>
        <v>0.15729939384873337</v>
      </c>
      <c r="P56">
        <f t="shared" si="13"/>
        <v>4.1370354925511709E-37</v>
      </c>
      <c r="Q56">
        <f t="shared" si="14"/>
        <v>5.5406223843935098E+34</v>
      </c>
      <c r="R56" s="3">
        <f t="shared" si="15"/>
        <v>90.110572651896405</v>
      </c>
    </row>
    <row r="57" spans="1:18" x14ac:dyDescent="0.2">
      <c r="A57" s="15">
        <v>100</v>
      </c>
      <c r="B57" s="15">
        <f t="shared" si="16"/>
        <v>21.000001000000001</v>
      </c>
      <c r="C57" s="3">
        <f t="shared" si="0"/>
        <v>-68.000008000000008</v>
      </c>
      <c r="D57" s="3">
        <f t="shared" si="1"/>
        <v>268.00000799999998</v>
      </c>
      <c r="E57" s="3">
        <f t="shared" si="5"/>
        <v>28.982754182444427</v>
      </c>
      <c r="F57">
        <f t="shared" si="6"/>
        <v>1.9990935517071771</v>
      </c>
      <c r="G57">
        <f t="shared" si="7"/>
        <v>4.453276852529537E-39</v>
      </c>
      <c r="H57">
        <f t="shared" si="8"/>
        <v>5.5406223843935098E+34</v>
      </c>
      <c r="I57" s="3">
        <f t="shared" si="9"/>
        <v>767.87271954960124</v>
      </c>
      <c r="J57" s="3">
        <f t="shared" si="2"/>
        <v>100</v>
      </c>
      <c r="K57" s="3">
        <f t="shared" si="10"/>
        <v>11.000001000000001</v>
      </c>
      <c r="L57" s="3">
        <f t="shared" si="3"/>
        <v>11.999991999999992</v>
      </c>
      <c r="M57" s="3">
        <f t="shared" si="4"/>
        <v>188.00000800000001</v>
      </c>
      <c r="N57" s="3">
        <f t="shared" si="11"/>
        <v>20.976177916865598</v>
      </c>
      <c r="O57">
        <f t="shared" si="12"/>
        <v>0.41849256483058733</v>
      </c>
      <c r="P57">
        <f t="shared" si="13"/>
        <v>8.1402925343836458E-37</v>
      </c>
      <c r="Q57">
        <f t="shared" si="14"/>
        <v>5.5406223843935098E+34</v>
      </c>
      <c r="R57" s="3">
        <f t="shared" si="15"/>
        <v>231.79742593105237</v>
      </c>
    </row>
    <row r="58" spans="1:18" x14ac:dyDescent="0.2">
      <c r="A58" s="15">
        <v>100</v>
      </c>
      <c r="B58" s="15">
        <f t="shared" si="16"/>
        <v>22.000001000000001</v>
      </c>
      <c r="C58" s="3">
        <f t="shared" si="0"/>
        <v>-76.000008000000008</v>
      </c>
      <c r="D58" s="3">
        <f t="shared" si="1"/>
        <v>276.00000799999998</v>
      </c>
      <c r="E58" s="3">
        <f t="shared" si="5"/>
        <v>29.664794622582505</v>
      </c>
      <c r="F58">
        <f t="shared" si="6"/>
        <v>1.9997089722307859</v>
      </c>
      <c r="G58">
        <f t="shared" si="7"/>
        <v>1.5352317485721243E-39</v>
      </c>
      <c r="H58">
        <f t="shared" si="8"/>
        <v>5.5406223843935098E+34</v>
      </c>
      <c r="I58" s="3">
        <f t="shared" si="9"/>
        <v>571.4583492561851</v>
      </c>
      <c r="J58" s="3">
        <f t="shared" si="2"/>
        <v>100</v>
      </c>
      <c r="K58" s="3">
        <f t="shared" si="10"/>
        <v>12.000001000000001</v>
      </c>
      <c r="L58" s="3">
        <f t="shared" si="3"/>
        <v>3.9999919999999918</v>
      </c>
      <c r="M58" s="3">
        <f t="shared" si="4"/>
        <v>196.00000800000001</v>
      </c>
      <c r="N58" s="3">
        <f t="shared" si="11"/>
        <v>21.908903213077554</v>
      </c>
      <c r="O58">
        <f t="shared" si="12"/>
        <v>0.79625382155811109</v>
      </c>
      <c r="P58">
        <f t="shared" si="13"/>
        <v>1.0941643257439601E-36</v>
      </c>
      <c r="Q58">
        <f t="shared" si="14"/>
        <v>5.5406223843935098E+34</v>
      </c>
      <c r="R58" s="3">
        <f t="shared" si="15"/>
        <v>428.4386675561646</v>
      </c>
    </row>
    <row r="59" spans="1:18" x14ac:dyDescent="0.2">
      <c r="A59" s="15">
        <v>100</v>
      </c>
      <c r="B59" s="15">
        <f t="shared" si="16"/>
        <v>23.000001000000001</v>
      </c>
      <c r="C59" s="3">
        <f t="shared" si="0"/>
        <v>-84.000008000000008</v>
      </c>
      <c r="D59" s="3">
        <f t="shared" si="1"/>
        <v>284.00000799999998</v>
      </c>
      <c r="E59" s="3">
        <f t="shared" si="5"/>
        <v>30.331502435586668</v>
      </c>
      <c r="F59">
        <f t="shared" si="6"/>
        <v>1.9999101638135679</v>
      </c>
      <c r="G59">
        <f t="shared" si="7"/>
        <v>5.0483472224430812E-40</v>
      </c>
      <c r="H59">
        <f t="shared" si="8"/>
        <v>5.5406223843935098E+34</v>
      </c>
      <c r="I59" s="3">
        <f t="shared" si="9"/>
        <v>371.61915586627879</v>
      </c>
      <c r="J59" s="3">
        <f t="shared" si="2"/>
        <v>100</v>
      </c>
      <c r="K59" s="3">
        <f t="shared" si="10"/>
        <v>13.000001000000001</v>
      </c>
      <c r="L59" s="3">
        <f t="shared" si="3"/>
        <v>-4.0000080000000082</v>
      </c>
      <c r="M59" s="3">
        <f t="shared" si="4"/>
        <v>204.00000800000001</v>
      </c>
      <c r="N59" s="3">
        <f t="shared" si="11"/>
        <v>22.803509379040761</v>
      </c>
      <c r="O59">
        <f t="shared" si="12"/>
        <v>1.1959197190126745</v>
      </c>
      <c r="P59">
        <f t="shared" si="13"/>
        <v>1.0969905515517939E-36</v>
      </c>
      <c r="Q59">
        <f t="shared" si="14"/>
        <v>5.5406223843935098E+34</v>
      </c>
      <c r="R59" s="3">
        <f t="shared" si="15"/>
        <v>628.3499115333176</v>
      </c>
    </row>
    <row r="60" spans="1:18" x14ac:dyDescent="0.2">
      <c r="A60" s="15">
        <v>100</v>
      </c>
      <c r="B60" s="15">
        <f t="shared" si="16"/>
        <v>24.000001000000001</v>
      </c>
      <c r="C60" s="3">
        <f t="shared" si="0"/>
        <v>-92.000008000000008</v>
      </c>
      <c r="D60" s="3">
        <f t="shared" si="1"/>
        <v>292.00000799999998</v>
      </c>
      <c r="E60" s="3">
        <f t="shared" si="5"/>
        <v>30.983867415156553</v>
      </c>
      <c r="F60">
        <f t="shared" si="6"/>
        <v>1.9999732148094167</v>
      </c>
      <c r="G60">
        <f t="shared" si="7"/>
        <v>1.5928602790622247E-40</v>
      </c>
      <c r="H60">
        <f t="shared" si="8"/>
        <v>5.5406223843935098E+34</v>
      </c>
      <c r="I60" s="3">
        <f t="shared" si="9"/>
        <v>212.4357667581379</v>
      </c>
      <c r="J60" s="3">
        <f t="shared" si="2"/>
        <v>100</v>
      </c>
      <c r="K60" s="3">
        <f t="shared" si="10"/>
        <v>14.000001000000001</v>
      </c>
      <c r="L60" s="3">
        <f t="shared" si="3"/>
        <v>-12.000008000000008</v>
      </c>
      <c r="M60" s="3">
        <f t="shared" si="4"/>
        <v>212.00000800000001</v>
      </c>
      <c r="N60" s="3">
        <f t="shared" si="11"/>
        <v>23.664319977552704</v>
      </c>
      <c r="O60">
        <f t="shared" si="12"/>
        <v>1.5267108137862588</v>
      </c>
      <c r="P60">
        <f t="shared" si="13"/>
        <v>8.735425298163061E-37</v>
      </c>
      <c r="Q60">
        <f t="shared" si="14"/>
        <v>5.5406223843935098E+34</v>
      </c>
      <c r="R60" s="3">
        <f t="shared" si="15"/>
        <v>787.55525336522919</v>
      </c>
    </row>
    <row r="61" spans="1:18" x14ac:dyDescent="0.2">
      <c r="A61" s="15">
        <v>100</v>
      </c>
      <c r="B61" s="15">
        <f t="shared" si="16"/>
        <v>25.000001000000001</v>
      </c>
      <c r="C61" s="3">
        <f t="shared" si="0"/>
        <v>-100.00000800000001</v>
      </c>
      <c r="D61" s="3">
        <f t="shared" si="1"/>
        <v>300.00000799999998</v>
      </c>
      <c r="E61" s="3">
        <f t="shared" si="5"/>
        <v>31.622777234139321</v>
      </c>
      <c r="F61">
        <f t="shared" si="6"/>
        <v>1.9999922557932888</v>
      </c>
      <c r="G61">
        <f t="shared" si="7"/>
        <v>4.8464059947546514E-41</v>
      </c>
      <c r="H61">
        <f t="shared" si="8"/>
        <v>5.5406223843935098E+34</v>
      </c>
      <c r="I61" s="3">
        <f t="shared" si="9"/>
        <v>108.07638850910064</v>
      </c>
      <c r="J61" s="3">
        <f t="shared" si="2"/>
        <v>100</v>
      </c>
      <c r="K61" s="3">
        <f t="shared" si="10"/>
        <v>15.000001000000001</v>
      </c>
      <c r="L61" s="3">
        <f t="shared" si="3"/>
        <v>-20.000008000000008</v>
      </c>
      <c r="M61" s="3">
        <f t="shared" si="4"/>
        <v>220.00000800000001</v>
      </c>
      <c r="N61" s="3">
        <f t="shared" si="11"/>
        <v>24.494898244328347</v>
      </c>
      <c r="O61">
        <f t="shared" si="12"/>
        <v>1.7517870944508038</v>
      </c>
      <c r="P61">
        <f t="shared" si="13"/>
        <v>5.7854636737432838E-37</v>
      </c>
      <c r="Q61">
        <f t="shared" si="14"/>
        <v>5.5406223843935098E+34</v>
      </c>
      <c r="R61" s="3">
        <f t="shared" si="15"/>
        <v>891.92108199282075</v>
      </c>
    </row>
    <row r="62" spans="1:18" x14ac:dyDescent="0.2">
      <c r="A62" s="15">
        <v>100</v>
      </c>
      <c r="B62" s="15">
        <f t="shared" si="16"/>
        <v>26.000001000000001</v>
      </c>
      <c r="C62" s="3">
        <f t="shared" si="0"/>
        <v>-108.00000800000001</v>
      </c>
      <c r="D62" s="3">
        <f t="shared" si="1"/>
        <v>308.00000799999998</v>
      </c>
      <c r="E62" s="3">
        <f t="shared" si="5"/>
        <v>32.249031613367869</v>
      </c>
      <c r="F62">
        <f t="shared" si="6"/>
        <v>1.9999978214445744</v>
      </c>
      <c r="G62">
        <f t="shared" si="7"/>
        <v>1.4279186031762588E-41</v>
      </c>
      <c r="H62">
        <f t="shared" si="8"/>
        <v>5.5406223843935098E+34</v>
      </c>
      <c r="I62" s="3">
        <f t="shared" si="9"/>
        <v>49.62254513432265</v>
      </c>
      <c r="J62" s="3">
        <f t="shared" si="2"/>
        <v>100</v>
      </c>
      <c r="K62" s="3">
        <f t="shared" si="10"/>
        <v>16.000001000000001</v>
      </c>
      <c r="L62" s="3">
        <f t="shared" si="3"/>
        <v>-28.000008000000008</v>
      </c>
      <c r="M62" s="3">
        <f t="shared" si="4"/>
        <v>228.00000800000001</v>
      </c>
      <c r="N62" s="3">
        <f t="shared" si="11"/>
        <v>25.298222071916438</v>
      </c>
      <c r="O62">
        <f t="shared" si="12"/>
        <v>1.8824752252586767</v>
      </c>
      <c r="P62">
        <f t="shared" si="13"/>
        <v>3.2989609839708508E-37</v>
      </c>
      <c r="Q62">
        <f t="shared" si="14"/>
        <v>5.5406223843935098E+34</v>
      </c>
      <c r="R62" s="3">
        <f t="shared" si="15"/>
        <v>950.37676116585328</v>
      </c>
    </row>
    <row r="63" spans="1:18" x14ac:dyDescent="0.2">
      <c r="A63" s="15">
        <v>100</v>
      </c>
      <c r="B63" s="15">
        <f t="shared" si="16"/>
        <v>27.000001000000001</v>
      </c>
      <c r="C63" s="3">
        <f t="shared" si="0"/>
        <v>-116.00000800000001</v>
      </c>
      <c r="D63" s="3">
        <f t="shared" si="1"/>
        <v>316.00000799999998</v>
      </c>
      <c r="E63" s="3">
        <f t="shared" si="5"/>
        <v>32.863354058890586</v>
      </c>
      <c r="F63">
        <f t="shared" si="6"/>
        <v>1.9999994019489904</v>
      </c>
      <c r="G63">
        <f t="shared" si="7"/>
        <v>4.0887031064488632E-42</v>
      </c>
      <c r="H63">
        <f t="shared" si="8"/>
        <v>5.5406223843935098E+34</v>
      </c>
      <c r="I63" s="3">
        <f t="shared" si="9"/>
        <v>20.839768756166563</v>
      </c>
      <c r="J63" s="3">
        <f t="shared" si="2"/>
        <v>100</v>
      </c>
      <c r="K63" s="3">
        <f t="shared" si="10"/>
        <v>17.000001000000001</v>
      </c>
      <c r="L63" s="3">
        <f t="shared" si="3"/>
        <v>-36.000008000000008</v>
      </c>
      <c r="M63" s="3">
        <f t="shared" si="4"/>
        <v>236.00000800000001</v>
      </c>
      <c r="N63" s="3">
        <f t="shared" si="11"/>
        <v>26.076810387775573</v>
      </c>
      <c r="O63">
        <f t="shared" si="12"/>
        <v>1.9491062413627604</v>
      </c>
      <c r="P63">
        <f t="shared" si="13"/>
        <v>1.6629629262317649E-37</v>
      </c>
      <c r="Q63">
        <f t="shared" si="14"/>
        <v>5.5406223843935098E+34</v>
      </c>
      <c r="R63" s="3">
        <f t="shared" si="15"/>
        <v>979.16004548812839</v>
      </c>
    </row>
    <row r="64" spans="1:18" x14ac:dyDescent="0.2">
      <c r="A64" s="15">
        <v>100</v>
      </c>
      <c r="B64" s="15">
        <f t="shared" si="16"/>
        <v>28.000001000000001</v>
      </c>
      <c r="C64" s="3">
        <f t="shared" si="0"/>
        <v>-124.00000800000001</v>
      </c>
      <c r="D64" s="3">
        <f t="shared" si="1"/>
        <v>324.00000799999998</v>
      </c>
      <c r="E64" s="3">
        <f t="shared" si="5"/>
        <v>33.466401658977325</v>
      </c>
      <c r="F64">
        <f t="shared" si="6"/>
        <v>1.9999998393856544</v>
      </c>
      <c r="G64">
        <f t="shared" si="7"/>
        <v>1.1413017529890292E-42</v>
      </c>
      <c r="H64">
        <f t="shared" si="8"/>
        <v>5.5406223843935098E+34</v>
      </c>
      <c r="I64" s="3">
        <f t="shared" si="9"/>
        <v>8.1017346063982814</v>
      </c>
      <c r="J64" s="3">
        <f t="shared" si="2"/>
        <v>100</v>
      </c>
      <c r="K64" s="3">
        <f t="shared" si="10"/>
        <v>18.000001000000001</v>
      </c>
      <c r="L64" s="3">
        <f t="shared" si="3"/>
        <v>-44.000008000000008</v>
      </c>
      <c r="M64" s="3">
        <f t="shared" si="4"/>
        <v>244.00000800000001</v>
      </c>
      <c r="N64" s="3">
        <f t="shared" si="11"/>
        <v>26.832816475353457</v>
      </c>
      <c r="O64">
        <f t="shared" si="12"/>
        <v>1.9796051791855858</v>
      </c>
      <c r="P64">
        <f t="shared" si="13"/>
        <v>7.5645910002785481E-38</v>
      </c>
      <c r="Q64">
        <f t="shared" si="14"/>
        <v>5.5406223843935098E+34</v>
      </c>
      <c r="R64" s="3">
        <f t="shared" si="15"/>
        <v>991.8982167040391</v>
      </c>
    </row>
    <row r="65" spans="1:18" x14ac:dyDescent="0.2">
      <c r="A65" s="15">
        <v>100</v>
      </c>
      <c r="B65" s="15">
        <f t="shared" si="16"/>
        <v>29.000001000000001</v>
      </c>
      <c r="C65" s="3">
        <f t="shared" si="0"/>
        <v>-132.00000800000001</v>
      </c>
      <c r="D65" s="3">
        <f t="shared" si="1"/>
        <v>332.00000799999998</v>
      </c>
      <c r="E65" s="3">
        <f t="shared" si="5"/>
        <v>34.058773319073019</v>
      </c>
      <c r="F65">
        <f t="shared" si="6"/>
        <v>1.999999957707608</v>
      </c>
      <c r="G65">
        <f t="shared" si="7"/>
        <v>3.1138541700240326E-43</v>
      </c>
      <c r="H65">
        <f t="shared" si="8"/>
        <v>5.5406223843935098E+34</v>
      </c>
      <c r="I65" s="3">
        <f t="shared" si="9"/>
        <v>2.946070135868581</v>
      </c>
      <c r="J65" s="3">
        <f t="shared" si="2"/>
        <v>100</v>
      </c>
      <c r="K65" s="3">
        <f t="shared" si="10"/>
        <v>19.000001000000001</v>
      </c>
      <c r="L65" s="3">
        <f t="shared" si="3"/>
        <v>-52.000008000000008</v>
      </c>
      <c r="M65" s="3">
        <f t="shared" si="4"/>
        <v>252.00000800000001</v>
      </c>
      <c r="N65" s="3">
        <f t="shared" si="11"/>
        <v>27.568098229656684</v>
      </c>
      <c r="O65">
        <f t="shared" si="12"/>
        <v>1.9923592129108356</v>
      </c>
      <c r="P65">
        <f t="shared" si="13"/>
        <v>3.156002442344523E-38</v>
      </c>
      <c r="Q65">
        <f t="shared" si="14"/>
        <v>5.5406223843935098E+34</v>
      </c>
      <c r="R65" s="3">
        <f t="shared" si="15"/>
        <v>997.05391734428053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H49"/>
  <sheetViews>
    <sheetView workbookViewId="0">
      <selection activeCell="J23" sqref="J23"/>
    </sheetView>
  </sheetViews>
  <sheetFormatPr baseColWidth="10" defaultRowHeight="16" x14ac:dyDescent="0.2"/>
  <cols>
    <col min="1" max="1" width="19.5" customWidth="1"/>
    <col min="2" max="3" width="11" bestFit="1" customWidth="1"/>
    <col min="4" max="4" width="12.1640625" bestFit="1" customWidth="1"/>
  </cols>
  <sheetData>
    <row r="1" spans="1:8" x14ac:dyDescent="0.2">
      <c r="A1" s="3" t="s">
        <v>32</v>
      </c>
      <c r="B1" s="3" t="s">
        <v>293</v>
      </c>
      <c r="C1" s="3"/>
      <c r="D1" s="3"/>
      <c r="E1" s="3"/>
      <c r="H1" s="3"/>
    </row>
    <row r="2" spans="1:8" x14ac:dyDescent="0.2">
      <c r="A2" s="3" t="s">
        <v>191</v>
      </c>
      <c r="B2" s="3" t="s">
        <v>208</v>
      </c>
      <c r="C2" s="3"/>
      <c r="D2" s="3"/>
      <c r="E2" s="3"/>
      <c r="H2" s="3"/>
    </row>
    <row r="3" spans="1:8" x14ac:dyDescent="0.2">
      <c r="A3" s="3" t="s">
        <v>273</v>
      </c>
      <c r="B3" s="3">
        <v>1</v>
      </c>
      <c r="C3" s="3"/>
      <c r="D3" s="3"/>
      <c r="E3" s="3"/>
      <c r="H3" s="3"/>
    </row>
    <row r="4" spans="1:8" x14ac:dyDescent="0.2">
      <c r="A4" s="3" t="s">
        <v>274</v>
      </c>
      <c r="B4" s="3" t="s">
        <v>19</v>
      </c>
      <c r="C4" s="3"/>
      <c r="D4" s="3"/>
      <c r="E4" s="3"/>
      <c r="H4" s="3"/>
    </row>
    <row r="5" spans="1:8" x14ac:dyDescent="0.2">
      <c r="A5" s="3" t="s">
        <v>275</v>
      </c>
      <c r="B5" s="3" t="s">
        <v>19</v>
      </c>
      <c r="C5" s="3"/>
      <c r="D5" s="3"/>
      <c r="E5" s="3"/>
      <c r="H5" s="3"/>
    </row>
    <row r="6" spans="1:8" x14ac:dyDescent="0.2">
      <c r="A6" s="3" t="s">
        <v>276</v>
      </c>
      <c r="B6" s="3" t="s">
        <v>282</v>
      </c>
      <c r="C6" s="3"/>
      <c r="D6" s="3"/>
      <c r="E6" s="3"/>
      <c r="H6" s="3"/>
    </row>
    <row r="7" spans="1:8" x14ac:dyDescent="0.2">
      <c r="A7" s="3" t="s">
        <v>277</v>
      </c>
      <c r="B7" s="3" t="s">
        <v>24</v>
      </c>
      <c r="C7" s="3"/>
      <c r="D7" s="3"/>
      <c r="E7" s="3"/>
      <c r="H7" s="3"/>
    </row>
    <row r="8" spans="1:8" ht="16" customHeight="1" x14ac:dyDescent="0.2">
      <c r="A8" s="3" t="s">
        <v>278</v>
      </c>
      <c r="B8" s="3" t="s">
        <v>26</v>
      </c>
      <c r="C8" s="3"/>
      <c r="D8" s="3"/>
      <c r="E8" s="3"/>
      <c r="H8" s="3"/>
    </row>
    <row r="9" spans="1:8" ht="16" customHeight="1" x14ac:dyDescent="0.2">
      <c r="A9" s="3" t="s">
        <v>279</v>
      </c>
      <c r="B9" s="3" t="s">
        <v>26</v>
      </c>
      <c r="C9" s="3"/>
      <c r="D9" s="3"/>
      <c r="E9" s="3"/>
      <c r="H9" s="3"/>
    </row>
    <row r="10" spans="1:8" ht="16" customHeight="1" x14ac:dyDescent="0.2">
      <c r="A10" s="3" t="s">
        <v>130</v>
      </c>
      <c r="B10" s="3" t="s">
        <v>283</v>
      </c>
      <c r="C10" s="3"/>
      <c r="D10" s="3"/>
      <c r="E10" s="3"/>
      <c r="H10" s="3"/>
    </row>
    <row r="11" spans="1:8" ht="16" customHeight="1" x14ac:dyDescent="0.2">
      <c r="A11" s="3"/>
      <c r="B11" s="3" t="s">
        <v>298</v>
      </c>
      <c r="C11" s="3"/>
      <c r="D11" s="3"/>
      <c r="E11" s="3"/>
      <c r="H11" s="3"/>
    </row>
    <row r="12" spans="1:8" ht="16" customHeight="1" x14ac:dyDescent="0.2">
      <c r="A12" s="3"/>
      <c r="B12" s="3" t="s">
        <v>299</v>
      </c>
      <c r="C12" s="3"/>
      <c r="D12" s="3"/>
      <c r="E12" s="3"/>
      <c r="H12" s="3"/>
    </row>
    <row r="13" spans="1:8" ht="16" customHeight="1" x14ac:dyDescent="0.2">
      <c r="A13" s="3" t="s">
        <v>30</v>
      </c>
      <c r="B13" s="3"/>
      <c r="C13" s="3"/>
      <c r="D13" s="3"/>
      <c r="E13" s="3"/>
      <c r="H13" s="3"/>
    </row>
    <row r="14" spans="1:8" ht="16" customHeight="1" x14ac:dyDescent="0.2">
      <c r="A14" s="3" t="s">
        <v>85</v>
      </c>
      <c r="B14" s="3" t="s">
        <v>86</v>
      </c>
      <c r="C14" s="3"/>
      <c r="D14" s="3"/>
      <c r="E14" s="3"/>
      <c r="H14" s="3"/>
    </row>
    <row r="15" spans="1:8" ht="16" customHeight="1" x14ac:dyDescent="0.2">
      <c r="B15" s="3" t="s">
        <v>294</v>
      </c>
      <c r="C15" s="3"/>
      <c r="D15" s="3"/>
      <c r="E15" s="3"/>
      <c r="H15" s="3"/>
    </row>
    <row r="16" spans="1:8" ht="16" customHeight="1" x14ac:dyDescent="0.2">
      <c r="A16" s="3" t="s">
        <v>87</v>
      </c>
      <c r="B16" s="3" t="s">
        <v>295</v>
      </c>
      <c r="C16" s="3"/>
      <c r="D16" s="3"/>
      <c r="E16" s="3"/>
      <c r="H16" s="3"/>
    </row>
    <row r="17" spans="1:8" ht="16" customHeight="1" x14ac:dyDescent="0.2">
      <c r="A17" s="3"/>
      <c r="B17" s="3"/>
      <c r="C17" s="3"/>
      <c r="D17" s="3"/>
      <c r="E17" s="3"/>
      <c r="H17" s="3"/>
    </row>
    <row r="18" spans="1:8" ht="16" customHeight="1" x14ac:dyDescent="0.2">
      <c r="A18" s="3" t="s">
        <v>93</v>
      </c>
      <c r="B18" s="3" t="s">
        <v>296</v>
      </c>
      <c r="C18" s="3"/>
      <c r="D18" s="3"/>
      <c r="E18" s="3"/>
      <c r="H18" s="3"/>
    </row>
    <row r="19" spans="1:8" ht="16" customHeight="1" x14ac:dyDescent="0.2">
      <c r="A19" s="3"/>
      <c r="B19" s="3"/>
      <c r="C19" s="3"/>
      <c r="D19" s="3"/>
      <c r="E19" s="3"/>
      <c r="F19" s="3"/>
      <c r="G19" s="3"/>
      <c r="H19" s="3"/>
    </row>
    <row r="20" spans="1:8" x14ac:dyDescent="0.2">
      <c r="A20" s="3" t="s">
        <v>33</v>
      </c>
      <c r="B20" s="3"/>
      <c r="C20" s="3"/>
      <c r="D20" s="3"/>
      <c r="E20" s="3"/>
      <c r="F20" s="3"/>
      <c r="G20" s="3"/>
      <c r="H20" s="3"/>
    </row>
    <row r="21" spans="1:8" x14ac:dyDescent="0.2">
      <c r="A21" s="57" t="s">
        <v>34</v>
      </c>
      <c r="B21" s="56">
        <v>100</v>
      </c>
      <c r="C21" s="3" t="s">
        <v>284</v>
      </c>
      <c r="D21" s="3"/>
      <c r="E21" s="3"/>
      <c r="F21" s="3"/>
      <c r="G21" s="3"/>
    </row>
    <row r="22" spans="1:8" x14ac:dyDescent="0.2">
      <c r="A22" s="57" t="s">
        <v>41</v>
      </c>
      <c r="B22" s="56">
        <v>0.05</v>
      </c>
      <c r="C22" s="3" t="s">
        <v>285</v>
      </c>
      <c r="D22" s="3"/>
      <c r="E22" s="3"/>
      <c r="F22" s="3"/>
      <c r="G22" s="3"/>
    </row>
    <row r="23" spans="1:8" x14ac:dyDescent="0.2">
      <c r="A23" s="57" t="s">
        <v>286</v>
      </c>
      <c r="B23" s="56">
        <v>1</v>
      </c>
      <c r="C23" s="3" t="s">
        <v>287</v>
      </c>
      <c r="D23" s="3"/>
      <c r="E23" s="3"/>
      <c r="F23" s="3"/>
      <c r="G23" s="3"/>
    </row>
    <row r="24" spans="1:8" x14ac:dyDescent="0.2">
      <c r="A24" s="57" t="s">
        <v>288</v>
      </c>
      <c r="B24" s="56">
        <v>0.5</v>
      </c>
      <c r="C24" s="3" t="s">
        <v>289</v>
      </c>
      <c r="D24" s="3"/>
      <c r="E24" s="3"/>
      <c r="F24" s="3"/>
      <c r="G24" s="3"/>
    </row>
    <row r="25" spans="1:8" x14ac:dyDescent="0.2">
      <c r="A25" s="57" t="s">
        <v>243</v>
      </c>
      <c r="B25" s="56">
        <v>0.5</v>
      </c>
      <c r="C25" s="3" t="s">
        <v>301</v>
      </c>
      <c r="G25" s="3"/>
    </row>
    <row r="26" spans="1:8" x14ac:dyDescent="0.2">
      <c r="A26" s="57" t="s">
        <v>300</v>
      </c>
      <c r="B26" t="str">
        <f>CONCATENATE("Concentration history at x= ",B29," (meters) downgradient of source zone")</f>
        <v>Concentration history at x= 2 (meters) downgradient of source zone</v>
      </c>
      <c r="E26" s="3"/>
      <c r="F26" s="3"/>
      <c r="G26" s="3"/>
      <c r="H26" s="3"/>
    </row>
    <row r="27" spans="1:8" x14ac:dyDescent="0.2">
      <c r="C27" s="3"/>
      <c r="D27" s="3"/>
      <c r="E27" s="3"/>
      <c r="F27" s="3"/>
      <c r="G27" s="3"/>
      <c r="H27" s="3"/>
    </row>
    <row r="28" spans="1:8" x14ac:dyDescent="0.2">
      <c r="B28" s="3" t="s">
        <v>290</v>
      </c>
      <c r="C28" s="3" t="s">
        <v>291</v>
      </c>
      <c r="D28" s="3" t="s">
        <v>292</v>
      </c>
    </row>
    <row r="29" spans="1:8" x14ac:dyDescent="0.2">
      <c r="B29" s="56">
        <v>2</v>
      </c>
      <c r="C29" s="56">
        <v>1E-4</v>
      </c>
      <c r="D29">
        <f t="shared" ref="D29:D49" si="0">ADExpDecay($B$21,B29,C29,$B$23,$B$22,$B$24)</f>
        <v>0</v>
      </c>
    </row>
    <row r="30" spans="1:8" x14ac:dyDescent="0.2">
      <c r="B30" s="56">
        <f t="shared" ref="B30:B49" si="1">B29</f>
        <v>2</v>
      </c>
      <c r="C30" s="56">
        <f t="shared" ref="C30:C49" si="2">C29+$B$25</f>
        <v>0.50009999999999999</v>
      </c>
      <c r="D30">
        <f t="shared" si="0"/>
        <v>3.5086892451649563E-10</v>
      </c>
    </row>
    <row r="31" spans="1:8" x14ac:dyDescent="0.2">
      <c r="B31" s="56">
        <f t="shared" si="1"/>
        <v>2</v>
      </c>
      <c r="C31" s="56">
        <f t="shared" si="2"/>
        <v>1.0001</v>
      </c>
      <c r="D31">
        <f t="shared" si="0"/>
        <v>2.6969779530965923E-2</v>
      </c>
    </row>
    <row r="32" spans="1:8" x14ac:dyDescent="0.2">
      <c r="B32" s="56">
        <f t="shared" si="1"/>
        <v>2</v>
      </c>
      <c r="C32" s="56">
        <f t="shared" si="2"/>
        <v>1.5001</v>
      </c>
      <c r="D32">
        <f t="shared" si="0"/>
        <v>3.2289276451249891</v>
      </c>
    </row>
    <row r="33" spans="2:4" x14ac:dyDescent="0.2">
      <c r="B33" s="56">
        <f t="shared" si="1"/>
        <v>2</v>
      </c>
      <c r="C33" s="56">
        <f t="shared" si="2"/>
        <v>2.0000999999999998</v>
      </c>
      <c r="D33">
        <f t="shared" si="0"/>
        <v>15.096218057168221</v>
      </c>
    </row>
    <row r="34" spans="2:4" x14ac:dyDescent="0.2">
      <c r="B34" s="56">
        <f t="shared" si="1"/>
        <v>2</v>
      </c>
      <c r="C34" s="56">
        <f t="shared" si="2"/>
        <v>2.5000999999999998</v>
      </c>
      <c r="D34">
        <f t="shared" si="0"/>
        <v>22.157747723416644</v>
      </c>
    </row>
    <row r="35" spans="2:4" x14ac:dyDescent="0.2">
      <c r="B35" s="56">
        <f t="shared" si="1"/>
        <v>2</v>
      </c>
      <c r="C35" s="56">
        <f t="shared" si="2"/>
        <v>3.0000999999999998</v>
      </c>
      <c r="D35">
        <f t="shared" si="0"/>
        <v>21.000329747856892</v>
      </c>
    </row>
    <row r="36" spans="2:4" x14ac:dyDescent="0.2">
      <c r="B36" s="56">
        <f t="shared" si="1"/>
        <v>2</v>
      </c>
      <c r="C36" s="56">
        <f t="shared" si="2"/>
        <v>3.5000999999999998</v>
      </c>
      <c r="D36">
        <f t="shared" si="0"/>
        <v>17.198045336879066</v>
      </c>
    </row>
    <row r="37" spans="2:4" x14ac:dyDescent="0.2">
      <c r="B37" s="56">
        <f t="shared" si="1"/>
        <v>2</v>
      </c>
      <c r="C37" s="56">
        <f t="shared" si="2"/>
        <v>4.0000999999999998</v>
      </c>
      <c r="D37">
        <f t="shared" si="0"/>
        <v>13.536806986869927</v>
      </c>
    </row>
    <row r="38" spans="2:4" x14ac:dyDescent="0.2">
      <c r="B38" s="56">
        <f t="shared" si="1"/>
        <v>2</v>
      </c>
      <c r="C38" s="56">
        <f t="shared" si="2"/>
        <v>4.5000999999999998</v>
      </c>
      <c r="D38">
        <f t="shared" si="0"/>
        <v>10.562679582600618</v>
      </c>
    </row>
    <row r="39" spans="2:4" x14ac:dyDescent="0.2">
      <c r="B39" s="56">
        <f t="shared" si="1"/>
        <v>2</v>
      </c>
      <c r="C39" s="56">
        <f t="shared" si="2"/>
        <v>5.0000999999999998</v>
      </c>
      <c r="D39">
        <f t="shared" si="0"/>
        <v>8.2287470724833334</v>
      </c>
    </row>
    <row r="40" spans="2:4" x14ac:dyDescent="0.2">
      <c r="B40" s="56">
        <f t="shared" si="1"/>
        <v>2</v>
      </c>
      <c r="C40" s="56">
        <f t="shared" si="2"/>
        <v>5.5000999999999998</v>
      </c>
      <c r="D40">
        <f t="shared" si="0"/>
        <v>6.408843680419972</v>
      </c>
    </row>
    <row r="41" spans="2:4" x14ac:dyDescent="0.2">
      <c r="B41" s="56">
        <f t="shared" si="1"/>
        <v>2</v>
      </c>
      <c r="C41" s="56">
        <f t="shared" si="2"/>
        <v>6.0000999999999998</v>
      </c>
      <c r="D41">
        <f t="shared" si="0"/>
        <v>4.991243534910252</v>
      </c>
    </row>
    <row r="42" spans="2:4" x14ac:dyDescent="0.2">
      <c r="B42" s="56">
        <f t="shared" si="1"/>
        <v>2</v>
      </c>
      <c r="C42" s="56">
        <f t="shared" si="2"/>
        <v>6.5000999999999998</v>
      </c>
      <c r="D42">
        <f t="shared" si="0"/>
        <v>3.8871875555940441</v>
      </c>
    </row>
    <row r="43" spans="2:4" x14ac:dyDescent="0.2">
      <c r="B43" s="56">
        <f t="shared" si="1"/>
        <v>2</v>
      </c>
      <c r="C43" s="56">
        <f t="shared" si="2"/>
        <v>7.0000999999999998</v>
      </c>
      <c r="D43">
        <f t="shared" si="0"/>
        <v>3.027345026541461</v>
      </c>
    </row>
    <row r="44" spans="2:4" x14ac:dyDescent="0.2">
      <c r="B44" s="56">
        <f t="shared" si="1"/>
        <v>2</v>
      </c>
      <c r="C44" s="56">
        <f t="shared" si="2"/>
        <v>7.5000999999999998</v>
      </c>
      <c r="D44">
        <f t="shared" si="0"/>
        <v>2.3576987074627236</v>
      </c>
    </row>
    <row r="45" spans="2:4" x14ac:dyDescent="0.2">
      <c r="B45" s="56">
        <f t="shared" si="1"/>
        <v>2</v>
      </c>
      <c r="C45" s="56">
        <f t="shared" si="2"/>
        <v>8.0000999999999998</v>
      </c>
      <c r="D45">
        <f t="shared" si="0"/>
        <v>1.8361776024479737</v>
      </c>
    </row>
    <row r="46" spans="2:4" x14ac:dyDescent="0.2">
      <c r="B46" s="56">
        <f t="shared" si="1"/>
        <v>2</v>
      </c>
      <c r="C46" s="56">
        <f t="shared" si="2"/>
        <v>8.5000999999999998</v>
      </c>
      <c r="D46">
        <f t="shared" si="0"/>
        <v>1.4300165549052093</v>
      </c>
    </row>
    <row r="47" spans="2:4" x14ac:dyDescent="0.2">
      <c r="B47" s="56">
        <f t="shared" si="1"/>
        <v>2</v>
      </c>
      <c r="C47" s="56">
        <f t="shared" si="2"/>
        <v>9.0000999999999998</v>
      </c>
      <c r="D47">
        <f t="shared" si="0"/>
        <v>1.1136980127888807</v>
      </c>
    </row>
    <row r="48" spans="2:4" x14ac:dyDescent="0.2">
      <c r="B48" s="56">
        <f t="shared" si="1"/>
        <v>2</v>
      </c>
      <c r="C48" s="56">
        <f t="shared" si="2"/>
        <v>9.5000999999999998</v>
      </c>
      <c r="D48">
        <f t="shared" si="0"/>
        <v>0.86734888446716418</v>
      </c>
    </row>
    <row r="49" spans="2:4" x14ac:dyDescent="0.2">
      <c r="B49" s="56">
        <f t="shared" si="1"/>
        <v>2</v>
      </c>
      <c r="C49" s="56">
        <f t="shared" si="2"/>
        <v>10.0001</v>
      </c>
      <c r="D49">
        <f t="shared" si="0"/>
        <v>0.6754919904193244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D54"/>
  <sheetViews>
    <sheetView workbookViewId="0">
      <selection activeCell="O28" sqref="O28"/>
    </sheetView>
  </sheetViews>
  <sheetFormatPr baseColWidth="10" defaultRowHeight="16" x14ac:dyDescent="0.2"/>
  <cols>
    <col min="1" max="1" width="25.1640625" customWidth="1"/>
    <col min="7" max="7" width="16.6640625" customWidth="1"/>
  </cols>
  <sheetData>
    <row r="1" spans="1:3" x14ac:dyDescent="0.2">
      <c r="A1" s="3" t="s">
        <v>32</v>
      </c>
      <c r="B1" s="3" t="s">
        <v>315</v>
      </c>
      <c r="C1" s="3"/>
    </row>
    <row r="2" spans="1:3" x14ac:dyDescent="0.2">
      <c r="A2" s="3" t="s">
        <v>191</v>
      </c>
      <c r="B2" t="s">
        <v>208</v>
      </c>
      <c r="C2" s="3"/>
    </row>
    <row r="3" spans="1:3" x14ac:dyDescent="0.2">
      <c r="A3" s="3" t="s">
        <v>273</v>
      </c>
      <c r="B3">
        <v>1</v>
      </c>
      <c r="C3" s="3"/>
    </row>
    <row r="4" spans="1:3" x14ac:dyDescent="0.2">
      <c r="A4" s="3" t="s">
        <v>274</v>
      </c>
      <c r="B4" t="s">
        <v>19</v>
      </c>
      <c r="C4" s="3"/>
    </row>
    <row r="5" spans="1:3" x14ac:dyDescent="0.2">
      <c r="A5" s="3" t="s">
        <v>275</v>
      </c>
      <c r="B5" t="s">
        <v>19</v>
      </c>
      <c r="C5" s="3"/>
    </row>
    <row r="6" spans="1:3" x14ac:dyDescent="0.2">
      <c r="A6" s="3" t="s">
        <v>276</v>
      </c>
      <c r="B6" t="s">
        <v>314</v>
      </c>
      <c r="C6" s="3"/>
    </row>
    <row r="7" spans="1:3" x14ac:dyDescent="0.2">
      <c r="A7" s="3" t="s">
        <v>277</v>
      </c>
      <c r="B7" t="s">
        <v>24</v>
      </c>
      <c r="C7" s="3"/>
    </row>
    <row r="8" spans="1:3" x14ac:dyDescent="0.2">
      <c r="A8" s="3" t="s">
        <v>278</v>
      </c>
      <c r="B8" t="s">
        <v>26</v>
      </c>
      <c r="C8" s="3"/>
    </row>
    <row r="9" spans="1:3" x14ac:dyDescent="0.2">
      <c r="A9" s="3" t="s">
        <v>279</v>
      </c>
      <c r="B9" t="s">
        <v>26</v>
      </c>
      <c r="C9" s="3"/>
    </row>
    <row r="10" spans="1:3" x14ac:dyDescent="0.2">
      <c r="A10" s="3" t="s">
        <v>130</v>
      </c>
      <c r="B10" t="s">
        <v>313</v>
      </c>
      <c r="C10" s="3"/>
    </row>
    <row r="11" spans="1:3" x14ac:dyDescent="0.2">
      <c r="A11" s="3"/>
      <c r="C11" s="3"/>
    </row>
    <row r="12" spans="1:3" x14ac:dyDescent="0.2">
      <c r="A12" s="3"/>
      <c r="C12" s="3"/>
    </row>
    <row r="13" spans="1:3" x14ac:dyDescent="0.2">
      <c r="A13" s="3" t="s">
        <v>30</v>
      </c>
      <c r="C13" s="3"/>
    </row>
    <row r="14" spans="1:3" x14ac:dyDescent="0.2">
      <c r="A14" s="3" t="s">
        <v>85</v>
      </c>
      <c r="B14" s="3" t="s">
        <v>86</v>
      </c>
      <c r="C14" s="3"/>
    </row>
    <row r="15" spans="1:3" x14ac:dyDescent="0.2">
      <c r="B15" s="3" t="s">
        <v>294</v>
      </c>
    </row>
    <row r="16" spans="1:3" x14ac:dyDescent="0.2">
      <c r="A16" s="3" t="s">
        <v>87</v>
      </c>
      <c r="B16" t="s">
        <v>317</v>
      </c>
    </row>
    <row r="17" spans="1:3" x14ac:dyDescent="0.2">
      <c r="A17" s="3"/>
    </row>
    <row r="18" spans="1:3" x14ac:dyDescent="0.2">
      <c r="A18" s="3" t="s">
        <v>93</v>
      </c>
      <c r="B18" s="19" t="s">
        <v>316</v>
      </c>
    </row>
    <row r="20" spans="1:3" x14ac:dyDescent="0.2">
      <c r="A20" s="3" t="s">
        <v>33</v>
      </c>
      <c r="B20" s="19"/>
      <c r="C20" s="3"/>
    </row>
    <row r="21" spans="1:3" x14ac:dyDescent="0.2">
      <c r="A21" s="3" t="s">
        <v>302</v>
      </c>
      <c r="B21" s="3">
        <v>1</v>
      </c>
      <c r="C21" s="3" t="s">
        <v>318</v>
      </c>
    </row>
    <row r="22" spans="1:3" x14ac:dyDescent="0.2">
      <c r="A22" s="3" t="s">
        <v>303</v>
      </c>
      <c r="B22" s="3">
        <v>1</v>
      </c>
      <c r="C22" s="3" t="s">
        <v>318</v>
      </c>
    </row>
    <row r="23" spans="1:3" x14ac:dyDescent="0.2">
      <c r="A23" s="3" t="s">
        <v>304</v>
      </c>
      <c r="B23" s="3">
        <v>0.5</v>
      </c>
      <c r="C23" s="3" t="s">
        <v>322</v>
      </c>
    </row>
    <row r="24" spans="1:3" x14ac:dyDescent="0.2">
      <c r="A24" s="3" t="s">
        <v>305</v>
      </c>
      <c r="B24" s="3">
        <v>2</v>
      </c>
      <c r="C24" s="3" t="s">
        <v>319</v>
      </c>
    </row>
    <row r="25" spans="1:3" x14ac:dyDescent="0.2">
      <c r="A25" s="3" t="s">
        <v>306</v>
      </c>
      <c r="B25" s="3">
        <v>1</v>
      </c>
      <c r="C25" s="3"/>
    </row>
    <row r="26" spans="1:3" x14ac:dyDescent="0.2">
      <c r="A26" s="3" t="s">
        <v>308</v>
      </c>
      <c r="B26" s="3">
        <v>100</v>
      </c>
      <c r="C26" s="3" t="s">
        <v>320</v>
      </c>
    </row>
    <row r="27" spans="1:3" x14ac:dyDescent="0.2">
      <c r="A27" s="3" t="s">
        <v>309</v>
      </c>
      <c r="B27" s="3">
        <v>2</v>
      </c>
      <c r="C27" s="3" t="s">
        <v>321</v>
      </c>
    </row>
    <row r="28" spans="1:3" x14ac:dyDescent="0.2">
      <c r="A28" s="3" t="s">
        <v>49</v>
      </c>
      <c r="B28" s="3"/>
      <c r="C28" s="3"/>
    </row>
    <row r="29" spans="1:3" x14ac:dyDescent="0.2">
      <c r="A29" s="3" t="s">
        <v>307</v>
      </c>
      <c r="B29" s="3">
        <f>B24/B25</f>
        <v>2</v>
      </c>
      <c r="C29" s="3" t="s">
        <v>319</v>
      </c>
    </row>
    <row r="30" spans="1:3" x14ac:dyDescent="0.2">
      <c r="A30" s="3" t="s">
        <v>310</v>
      </c>
      <c r="B30" s="3">
        <f>B26*B27</f>
        <v>200</v>
      </c>
      <c r="C30" s="3" t="s">
        <v>327</v>
      </c>
    </row>
    <row r="31" spans="1:3" x14ac:dyDescent="0.2">
      <c r="A31" s="3" t="s">
        <v>73</v>
      </c>
      <c r="B31" s="3" t="str">
        <f>CONCATENATE("Concentration history at x=",B35," (meters) downgradient of source")</f>
        <v>Concentration history at x=5 (meters) downgradient of source</v>
      </c>
    </row>
    <row r="32" spans="1:3" x14ac:dyDescent="0.2">
      <c r="C32" s="3"/>
    </row>
    <row r="33" spans="1:4" x14ac:dyDescent="0.2">
      <c r="A33" s="3"/>
      <c r="B33" s="3"/>
      <c r="C33" s="3"/>
    </row>
    <row r="34" spans="1:4" x14ac:dyDescent="0.2">
      <c r="B34" s="3" t="s">
        <v>311</v>
      </c>
      <c r="C34" s="3" t="s">
        <v>312</v>
      </c>
      <c r="D34" s="3" t="s">
        <v>328</v>
      </c>
    </row>
    <row r="35" spans="1:4" x14ac:dyDescent="0.2">
      <c r="B35" s="3">
        <v>5</v>
      </c>
      <c r="C35" s="3">
        <v>1E-4</v>
      </c>
      <c r="D35">
        <f t="shared" ref="D35:D54" si="0">Impulse1d($B$26,$B$27,$B$25,1,$B$21,$B$23,$B$29,C35,1,$B35,0)</f>
        <v>0</v>
      </c>
    </row>
    <row r="36" spans="1:4" x14ac:dyDescent="0.2">
      <c r="B36" s="3">
        <f t="shared" ref="B36:B54" si="1">B35</f>
        <v>5</v>
      </c>
      <c r="C36" s="3">
        <f>C35+0.5</f>
        <v>0.50009999999999999</v>
      </c>
      <c r="D36">
        <f t="shared" si="0"/>
        <v>2.6827664764414151E-2</v>
      </c>
    </row>
    <row r="37" spans="1:4" x14ac:dyDescent="0.2">
      <c r="B37" s="3">
        <f t="shared" si="1"/>
        <v>5</v>
      </c>
      <c r="C37" s="3">
        <f t="shared" ref="C37:C52" si="2">C36+0.5</f>
        <v>1.0001</v>
      </c>
      <c r="D37">
        <f t="shared" si="0"/>
        <v>5.9493393695737344</v>
      </c>
    </row>
    <row r="38" spans="1:4" x14ac:dyDescent="0.2">
      <c r="B38" s="3">
        <f t="shared" si="1"/>
        <v>5</v>
      </c>
      <c r="C38" s="3">
        <f t="shared" si="2"/>
        <v>1.5001</v>
      </c>
      <c r="D38">
        <f t="shared" si="0"/>
        <v>23.654430874589877</v>
      </c>
    </row>
    <row r="39" spans="1:4" x14ac:dyDescent="0.2">
      <c r="B39" s="3">
        <f t="shared" si="1"/>
        <v>5</v>
      </c>
      <c r="C39" s="3">
        <f t="shared" si="2"/>
        <v>2.0000999999999998</v>
      </c>
      <c r="D39">
        <f t="shared" si="0"/>
        <v>35.207632644725109</v>
      </c>
    </row>
    <row r="40" spans="1:4" x14ac:dyDescent="0.2">
      <c r="B40" s="3">
        <f t="shared" si="1"/>
        <v>5</v>
      </c>
      <c r="C40" s="3">
        <f t="shared" si="2"/>
        <v>2.5000999999999998</v>
      </c>
      <c r="D40">
        <f t="shared" si="0"/>
        <v>35.681768552096372</v>
      </c>
    </row>
    <row r="41" spans="1:4" x14ac:dyDescent="0.2">
      <c r="B41" s="3">
        <f t="shared" si="1"/>
        <v>5</v>
      </c>
      <c r="C41" s="3">
        <f t="shared" si="2"/>
        <v>3.0000999999999998</v>
      </c>
      <c r="D41">
        <f t="shared" si="0"/>
        <v>29.96765223641637</v>
      </c>
    </row>
    <row r="42" spans="1:4" x14ac:dyDescent="0.2">
      <c r="B42" s="3">
        <f t="shared" si="1"/>
        <v>5</v>
      </c>
      <c r="C42" s="3">
        <f t="shared" si="2"/>
        <v>3.5000999999999998</v>
      </c>
      <c r="D42">
        <f t="shared" si="0"/>
        <v>22.661018611235519</v>
      </c>
    </row>
    <row r="43" spans="1:4" x14ac:dyDescent="0.2">
      <c r="B43" s="3">
        <f t="shared" si="1"/>
        <v>5</v>
      </c>
      <c r="C43" s="3">
        <f t="shared" si="2"/>
        <v>4.0000999999999998</v>
      </c>
      <c r="D43">
        <f t="shared" si="0"/>
        <v>16.072096378777609</v>
      </c>
    </row>
    <row r="44" spans="1:4" x14ac:dyDescent="0.2">
      <c r="B44" s="3">
        <f t="shared" si="1"/>
        <v>5</v>
      </c>
      <c r="C44" s="3">
        <f t="shared" si="2"/>
        <v>4.5000999999999998</v>
      </c>
      <c r="D44">
        <f t="shared" si="0"/>
        <v>10.933127587302376</v>
      </c>
    </row>
    <row r="45" spans="1:4" x14ac:dyDescent="0.2">
      <c r="B45" s="3">
        <f t="shared" si="1"/>
        <v>5</v>
      </c>
      <c r="C45" s="3">
        <f t="shared" si="2"/>
        <v>5.0000999999999998</v>
      </c>
      <c r="D45">
        <f t="shared" si="0"/>
        <v>7.2282812738145772</v>
      </c>
    </row>
    <row r="46" spans="1:4" x14ac:dyDescent="0.2">
      <c r="B46" s="3">
        <f t="shared" si="1"/>
        <v>5</v>
      </c>
      <c r="C46" s="3">
        <f t="shared" si="2"/>
        <v>5.5000999999999998</v>
      </c>
      <c r="D46">
        <f t="shared" si="0"/>
        <v>4.6831882619484961</v>
      </c>
    </row>
    <row r="47" spans="1:4" x14ac:dyDescent="0.2">
      <c r="B47" s="3">
        <f t="shared" si="1"/>
        <v>5</v>
      </c>
      <c r="C47" s="3">
        <f t="shared" si="2"/>
        <v>6.0000999999999998</v>
      </c>
      <c r="D47">
        <f t="shared" si="0"/>
        <v>2.9896845176393865</v>
      </c>
    </row>
    <row r="48" spans="1:4" x14ac:dyDescent="0.2">
      <c r="B48" s="3">
        <f t="shared" si="1"/>
        <v>5</v>
      </c>
      <c r="C48" s="3">
        <f t="shared" si="2"/>
        <v>6.5000999999999998</v>
      </c>
      <c r="D48">
        <f t="shared" si="0"/>
        <v>1.8875369790474366</v>
      </c>
    </row>
    <row r="49" spans="2:4" x14ac:dyDescent="0.2">
      <c r="B49" s="3">
        <f t="shared" si="1"/>
        <v>5</v>
      </c>
      <c r="C49" s="3">
        <f t="shared" si="2"/>
        <v>7.0000999999999998</v>
      </c>
      <c r="D49">
        <f t="shared" si="0"/>
        <v>1.1816344861577091</v>
      </c>
    </row>
    <row r="50" spans="2:4" x14ac:dyDescent="0.2">
      <c r="B50" s="3">
        <f t="shared" si="1"/>
        <v>5</v>
      </c>
      <c r="C50" s="3">
        <f t="shared" si="2"/>
        <v>7.5000999999999998</v>
      </c>
      <c r="D50">
        <f t="shared" si="0"/>
        <v>0.7348600866417172</v>
      </c>
    </row>
    <row r="51" spans="2:4" x14ac:dyDescent="0.2">
      <c r="B51" s="3">
        <f t="shared" si="1"/>
        <v>5</v>
      </c>
      <c r="C51" s="3">
        <f t="shared" si="2"/>
        <v>8.0000999999999998</v>
      </c>
      <c r="D51">
        <f t="shared" si="0"/>
        <v>0.45463425782337519</v>
      </c>
    </row>
    <row r="52" spans="2:4" x14ac:dyDescent="0.2">
      <c r="B52" s="3">
        <f t="shared" si="1"/>
        <v>5</v>
      </c>
      <c r="C52" s="3">
        <f t="shared" si="2"/>
        <v>8.5000999999999998</v>
      </c>
      <c r="D52">
        <f t="shared" si="0"/>
        <v>0.28009703333185332</v>
      </c>
    </row>
    <row r="53" spans="2:4" x14ac:dyDescent="0.2">
      <c r="B53" s="3">
        <f t="shared" si="1"/>
        <v>5</v>
      </c>
      <c r="C53" s="3">
        <f>C52+0.5</f>
        <v>9.0000999999999998</v>
      </c>
      <c r="D53">
        <f t="shared" si="0"/>
        <v>0.17198477395402992</v>
      </c>
    </row>
    <row r="54" spans="2:4" x14ac:dyDescent="0.2">
      <c r="B54" s="3">
        <f t="shared" si="1"/>
        <v>5</v>
      </c>
      <c r="C54" s="3">
        <f>C53+0.5</f>
        <v>9.5000999999999998</v>
      </c>
      <c r="D54">
        <f t="shared" si="0"/>
        <v>0.10531138657454227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64"/>
  <sheetViews>
    <sheetView tabSelected="1" workbookViewId="0">
      <selection activeCell="O28" sqref="O28"/>
    </sheetView>
  </sheetViews>
  <sheetFormatPr baseColWidth="10" defaultRowHeight="16" x14ac:dyDescent="0.2"/>
  <cols>
    <col min="1" max="1" width="21" style="22" customWidth="1"/>
    <col min="2" max="5" width="10.83203125" style="22"/>
    <col min="6" max="8" width="12.1640625" style="22" bestFit="1" customWidth="1"/>
    <col min="9" max="9" width="9.5" style="22" customWidth="1"/>
    <col min="10" max="16384" width="10.83203125" style="22"/>
  </cols>
  <sheetData>
    <row r="1" spans="1:9" x14ac:dyDescent="0.2">
      <c r="A1" s="20" t="s">
        <v>32</v>
      </c>
      <c r="B1" s="20" t="s">
        <v>324</v>
      </c>
      <c r="C1" s="20"/>
      <c r="D1" s="20"/>
      <c r="E1" s="20"/>
      <c r="F1" s="20"/>
      <c r="G1" s="20"/>
      <c r="H1" s="20"/>
      <c r="I1" s="20"/>
    </row>
    <row r="2" spans="1:9" x14ac:dyDescent="0.2">
      <c r="A2" s="20" t="s">
        <v>191</v>
      </c>
      <c r="B2" s="20" t="s">
        <v>208</v>
      </c>
      <c r="C2" s="20"/>
      <c r="D2" s="20"/>
      <c r="E2" s="20"/>
      <c r="F2" s="20"/>
      <c r="G2" s="20"/>
      <c r="H2" s="20"/>
      <c r="I2" s="20"/>
    </row>
    <row r="3" spans="1:9" x14ac:dyDescent="0.2">
      <c r="A3" s="20" t="s">
        <v>273</v>
      </c>
      <c r="B3" s="20">
        <v>1</v>
      </c>
      <c r="C3" s="20"/>
      <c r="D3" s="20"/>
      <c r="E3" s="20"/>
      <c r="F3" s="20"/>
      <c r="G3" s="20"/>
      <c r="H3" s="20"/>
      <c r="I3" s="20"/>
    </row>
    <row r="4" spans="1:9" x14ac:dyDescent="0.2">
      <c r="A4" s="20" t="s">
        <v>274</v>
      </c>
      <c r="B4" s="20" t="s">
        <v>19</v>
      </c>
      <c r="C4" s="20"/>
      <c r="D4" s="20"/>
      <c r="E4" s="20"/>
      <c r="F4" s="20"/>
      <c r="G4" s="20"/>
      <c r="H4" s="20"/>
      <c r="I4" s="20"/>
    </row>
    <row r="5" spans="1:9" x14ac:dyDescent="0.2">
      <c r="A5" s="20" t="s">
        <v>275</v>
      </c>
      <c r="B5" s="20" t="s">
        <v>19</v>
      </c>
      <c r="C5" s="20"/>
      <c r="D5" s="20"/>
      <c r="E5" s="20"/>
      <c r="F5" s="20"/>
      <c r="G5" s="20"/>
      <c r="H5" s="20"/>
      <c r="I5" s="20"/>
    </row>
    <row r="6" spans="1:9" x14ac:dyDescent="0.2">
      <c r="A6" s="20" t="s">
        <v>276</v>
      </c>
      <c r="B6" s="20" t="s">
        <v>325</v>
      </c>
      <c r="C6" s="20"/>
      <c r="D6" s="20"/>
      <c r="E6" s="20"/>
      <c r="F6" s="20"/>
      <c r="G6" s="20"/>
      <c r="H6" s="20"/>
      <c r="I6" s="20"/>
    </row>
    <row r="7" spans="1:9" x14ac:dyDescent="0.2">
      <c r="A7" s="20" t="s">
        <v>277</v>
      </c>
      <c r="B7" s="20" t="s">
        <v>24</v>
      </c>
      <c r="C7" s="20"/>
      <c r="D7" s="20"/>
      <c r="E7" s="20"/>
      <c r="F7" s="20"/>
      <c r="G7" s="20"/>
      <c r="H7" s="20"/>
      <c r="I7" s="20"/>
    </row>
    <row r="8" spans="1:9" x14ac:dyDescent="0.2">
      <c r="A8" s="20" t="s">
        <v>278</v>
      </c>
      <c r="B8" s="20" t="s">
        <v>26</v>
      </c>
      <c r="C8" s="20"/>
      <c r="D8" s="20"/>
      <c r="E8" s="20"/>
      <c r="F8" s="20"/>
      <c r="G8" s="20"/>
      <c r="H8" s="20"/>
      <c r="I8" s="20"/>
    </row>
    <row r="9" spans="1:9" x14ac:dyDescent="0.2">
      <c r="A9" s="20" t="s">
        <v>279</v>
      </c>
      <c r="B9" s="20" t="s">
        <v>26</v>
      </c>
      <c r="C9" s="20"/>
      <c r="D9" s="20"/>
      <c r="E9" s="20"/>
      <c r="F9" s="20"/>
      <c r="G9" s="20"/>
      <c r="H9" s="20"/>
      <c r="I9" s="20"/>
    </row>
    <row r="10" spans="1:9" x14ac:dyDescent="0.2">
      <c r="A10" s="20" t="s">
        <v>128</v>
      </c>
      <c r="B10" s="20" t="s">
        <v>29</v>
      </c>
      <c r="C10" s="20"/>
      <c r="D10" s="20"/>
      <c r="E10" s="20"/>
      <c r="F10" s="20"/>
      <c r="G10" s="20"/>
      <c r="H10" s="20"/>
      <c r="I10" s="20"/>
    </row>
    <row r="11" spans="1:9" x14ac:dyDescent="0.2">
      <c r="A11" s="20"/>
      <c r="B11" s="20"/>
      <c r="C11" s="20"/>
      <c r="D11" s="20"/>
      <c r="E11" s="20"/>
      <c r="F11" s="20"/>
      <c r="G11" s="20"/>
      <c r="H11" s="20"/>
      <c r="I11" s="20"/>
    </row>
    <row r="12" spans="1:9" x14ac:dyDescent="0.2">
      <c r="A12" s="20" t="s">
        <v>30</v>
      </c>
      <c r="B12" s="20" t="s">
        <v>148</v>
      </c>
      <c r="C12" s="20"/>
      <c r="D12" s="20"/>
      <c r="E12" s="20"/>
      <c r="F12" s="20"/>
      <c r="G12" s="20"/>
      <c r="H12" s="20"/>
      <c r="I12" s="20"/>
    </row>
    <row r="13" spans="1:9" x14ac:dyDescent="0.2">
      <c r="A13" s="20" t="s">
        <v>85</v>
      </c>
      <c r="B13" s="20" t="s">
        <v>86</v>
      </c>
      <c r="C13" s="20"/>
      <c r="D13" s="20"/>
      <c r="E13" s="20"/>
      <c r="F13" s="20"/>
      <c r="G13" s="20"/>
      <c r="H13" s="20"/>
      <c r="I13" s="20"/>
    </row>
    <row r="14" spans="1:9" x14ac:dyDescent="0.2">
      <c r="A14" s="20" t="s">
        <v>87</v>
      </c>
      <c r="B14" s="20" t="s">
        <v>88</v>
      </c>
      <c r="C14" s="20"/>
      <c r="D14" s="20"/>
      <c r="E14" s="20"/>
      <c r="F14" s="20"/>
      <c r="G14" s="20"/>
      <c r="H14" s="20"/>
      <c r="I14" s="20"/>
    </row>
    <row r="15" spans="1:9" x14ac:dyDescent="0.2">
      <c r="A15" s="20"/>
      <c r="B15" s="20" t="s">
        <v>89</v>
      </c>
    </row>
    <row r="16" spans="1:9" x14ac:dyDescent="0.2">
      <c r="A16" s="20"/>
      <c r="B16" s="20" t="s">
        <v>326</v>
      </c>
    </row>
    <row r="17" spans="1:9" x14ac:dyDescent="0.2">
      <c r="A17" s="20"/>
      <c r="B17" s="20"/>
    </row>
    <row r="18" spans="1:9" x14ac:dyDescent="0.2">
      <c r="A18" s="20"/>
      <c r="B18" s="20"/>
    </row>
    <row r="19" spans="1:9" x14ac:dyDescent="0.2">
      <c r="A19" s="20" t="s">
        <v>93</v>
      </c>
      <c r="B19" s="20" t="s">
        <v>131</v>
      </c>
    </row>
    <row r="21" spans="1:9" x14ac:dyDescent="0.2">
      <c r="A21" s="94" t="s">
        <v>33</v>
      </c>
      <c r="B21" s="95"/>
      <c r="C21" s="95"/>
      <c r="D21" s="95"/>
      <c r="E21" s="95"/>
      <c r="F21" s="95"/>
      <c r="G21" s="95"/>
      <c r="H21" s="95"/>
      <c r="I21" s="96"/>
    </row>
    <row r="22" spans="1:9" x14ac:dyDescent="0.2">
      <c r="A22" s="66" t="s">
        <v>34</v>
      </c>
      <c r="B22" s="65">
        <v>1000</v>
      </c>
      <c r="C22" s="65" t="s">
        <v>35</v>
      </c>
      <c r="D22" s="65"/>
      <c r="E22" s="65"/>
      <c r="F22" s="65" t="s">
        <v>331</v>
      </c>
      <c r="G22" s="65"/>
      <c r="H22" s="65"/>
      <c r="I22" s="65"/>
    </row>
    <row r="23" spans="1:9" x14ac:dyDescent="0.2">
      <c r="A23" s="66" t="s">
        <v>36</v>
      </c>
      <c r="B23" s="65">
        <v>4</v>
      </c>
      <c r="C23" s="65" t="s">
        <v>37</v>
      </c>
      <c r="D23" s="65"/>
      <c r="E23" s="65"/>
      <c r="F23" s="65" t="s">
        <v>38</v>
      </c>
      <c r="G23" s="65"/>
      <c r="H23" s="65"/>
      <c r="I23" s="65"/>
    </row>
    <row r="24" spans="1:9" x14ac:dyDescent="0.2">
      <c r="A24" s="66" t="s">
        <v>39</v>
      </c>
      <c r="B24" s="65">
        <v>0.5</v>
      </c>
      <c r="C24" s="65" t="s">
        <v>40</v>
      </c>
      <c r="D24" s="65"/>
      <c r="E24" s="65"/>
      <c r="F24" s="65"/>
      <c r="G24" s="65"/>
      <c r="H24" s="65"/>
      <c r="I24" s="65"/>
    </row>
    <row r="25" spans="1:9" x14ac:dyDescent="0.2">
      <c r="A25" s="66" t="s">
        <v>41</v>
      </c>
      <c r="B25" s="65">
        <v>10</v>
      </c>
      <c r="C25" s="65" t="s">
        <v>42</v>
      </c>
      <c r="D25" s="65"/>
      <c r="E25" s="65"/>
      <c r="F25" s="65" t="s">
        <v>332</v>
      </c>
      <c r="G25" s="65"/>
      <c r="H25" s="65"/>
      <c r="I25" s="65"/>
    </row>
    <row r="26" spans="1:9" x14ac:dyDescent="0.2">
      <c r="A26" s="91" t="s">
        <v>49</v>
      </c>
      <c r="B26" s="92"/>
      <c r="C26" s="92"/>
      <c r="D26" s="92"/>
      <c r="E26" s="92"/>
      <c r="F26" s="92"/>
      <c r="G26" s="92"/>
      <c r="H26" s="92"/>
      <c r="I26" s="93"/>
    </row>
    <row r="27" spans="1:9" x14ac:dyDescent="0.2">
      <c r="A27" s="67" t="s">
        <v>50</v>
      </c>
      <c r="B27" s="64">
        <f>B23/B24</f>
        <v>8</v>
      </c>
      <c r="C27" s="64" t="s">
        <v>51</v>
      </c>
      <c r="D27" s="64"/>
      <c r="E27" s="64"/>
      <c r="F27" s="64" t="s">
        <v>38</v>
      </c>
      <c r="G27" s="64"/>
      <c r="H27" s="64"/>
      <c r="I27" s="64"/>
    </row>
    <row r="28" spans="1:9" x14ac:dyDescent="0.2">
      <c r="A28" s="67" t="s">
        <v>52</v>
      </c>
      <c r="B28" s="64">
        <f>B27/B25</f>
        <v>0.8</v>
      </c>
      <c r="C28" s="64"/>
      <c r="D28" s="64"/>
      <c r="E28" s="64"/>
      <c r="F28" s="69" t="s">
        <v>333</v>
      </c>
      <c r="G28" s="64"/>
      <c r="H28" s="64"/>
      <c r="I28" s="64"/>
    </row>
    <row r="29" spans="1:9" x14ac:dyDescent="0.2">
      <c r="A29" s="67" t="s">
        <v>73</v>
      </c>
      <c r="B29" s="64" t="str">
        <f>CONCATENATE("Concentration history at x= ",A35," (meters) downgradient of source zone ")</f>
        <v xml:space="preserve">Concentration history at x= 100 (meters) downgradient of source zone </v>
      </c>
      <c r="C29" s="64"/>
      <c r="D29" s="64"/>
      <c r="E29" s="64"/>
      <c r="F29" s="64"/>
      <c r="G29" s="64"/>
      <c r="H29" s="64"/>
      <c r="I29" s="64"/>
    </row>
    <row r="30" spans="1:9" x14ac:dyDescent="0.2">
      <c r="F30" s="20"/>
      <c r="G30" s="20"/>
      <c r="H30" s="20"/>
      <c r="I30" s="20"/>
    </row>
    <row r="31" spans="1:9" x14ac:dyDescent="0.2">
      <c r="F31" s="20"/>
      <c r="G31" s="20"/>
      <c r="H31" s="20"/>
      <c r="I31" s="20"/>
    </row>
    <row r="32" spans="1:9" x14ac:dyDescent="0.2">
      <c r="A32" s="20"/>
      <c r="B32" s="20"/>
      <c r="C32" s="58"/>
      <c r="D32" s="59"/>
      <c r="E32" s="59" t="s">
        <v>53</v>
      </c>
      <c r="F32" s="59"/>
      <c r="G32" s="59"/>
      <c r="H32" s="60"/>
      <c r="I32" s="20" t="s">
        <v>109</v>
      </c>
    </row>
    <row r="33" spans="1:9" x14ac:dyDescent="0.2">
      <c r="A33" s="20" t="s">
        <v>54</v>
      </c>
      <c r="B33" s="20"/>
      <c r="C33" s="61" t="s">
        <v>55</v>
      </c>
      <c r="D33" s="62" t="s">
        <v>56</v>
      </c>
      <c r="E33" s="62" t="s">
        <v>57</v>
      </c>
      <c r="F33" s="62" t="s">
        <v>58</v>
      </c>
      <c r="G33" s="62" t="s">
        <v>59</v>
      </c>
      <c r="H33" s="63" t="s">
        <v>60</v>
      </c>
      <c r="I33" s="27" t="s">
        <v>61</v>
      </c>
    </row>
    <row r="34" spans="1:9" ht="85" x14ac:dyDescent="0.2">
      <c r="A34" s="30" t="s">
        <v>62</v>
      </c>
      <c r="B34" s="30" t="s">
        <v>63</v>
      </c>
      <c r="C34" s="31" t="s">
        <v>64</v>
      </c>
      <c r="D34" s="32" t="s">
        <v>65</v>
      </c>
      <c r="E34" s="32" t="s">
        <v>66</v>
      </c>
      <c r="F34" s="32" t="s">
        <v>67</v>
      </c>
      <c r="G34" s="32" t="s">
        <v>68</v>
      </c>
      <c r="H34" s="33" t="s">
        <v>69</v>
      </c>
      <c r="I34" s="30" t="s">
        <v>117</v>
      </c>
    </row>
    <row r="35" spans="1:9" x14ac:dyDescent="0.2">
      <c r="A35" s="68">
        <v>100</v>
      </c>
      <c r="B35" s="68">
        <v>1</v>
      </c>
      <c r="C35" s="20">
        <f t="shared" ref="C35:C64" si="0">A35-$B$27*B35</f>
        <v>92</v>
      </c>
      <c r="D35" s="20">
        <f t="shared" ref="D35:D64" si="1">A35+$B$27*B35</f>
        <v>108</v>
      </c>
      <c r="E35" s="20">
        <f t="shared" ref="E35:E64" si="2">2*SQRT($B$25*B35)</f>
        <v>6.324555320336759</v>
      </c>
      <c r="F35" s="22">
        <f>ERFC(C35/E35)</f>
        <v>4.9083399963261847E-94</v>
      </c>
      <c r="G35" s="22">
        <f>ERFC(D35/E35)</f>
        <v>7.5512503926755598E-129</v>
      </c>
      <c r="H35" s="22">
        <f t="shared" ref="H35:H64" si="3">EXP($B$28*A35)</f>
        <v>5.5406223843935098E+34</v>
      </c>
      <c r="I35" s="20">
        <f t="shared" ref="I35:I64" si="4">0.5*$B$22*(F35+H35*G35)</f>
        <v>4.5461013459540168E-91</v>
      </c>
    </row>
    <row r="36" spans="1:9" x14ac:dyDescent="0.2">
      <c r="A36" s="20">
        <v>100</v>
      </c>
      <c r="B36" s="68">
        <f>B35+1</f>
        <v>2</v>
      </c>
      <c r="C36" s="20">
        <f t="shared" si="0"/>
        <v>84</v>
      </c>
      <c r="D36" s="20">
        <f t="shared" si="1"/>
        <v>116</v>
      </c>
      <c r="E36" s="20">
        <f t="shared" si="2"/>
        <v>8.9442719099991592</v>
      </c>
      <c r="F36" s="22">
        <f t="shared" ref="F36:F64" si="5">ERFC(C36/E36)</f>
        <v>2.9613479194396269E-40</v>
      </c>
      <c r="G36" s="22">
        <f t="shared" ref="G36:G64" si="6">ERFC(D36/E36)</f>
        <v>3.8805980588274392E-75</v>
      </c>
      <c r="H36" s="22">
        <f t="shared" si="3"/>
        <v>5.5406223843935098E+34</v>
      </c>
      <c r="I36" s="20">
        <f t="shared" si="4"/>
        <v>2.5557203831984791E-37</v>
      </c>
    </row>
    <row r="37" spans="1:9" x14ac:dyDescent="0.2">
      <c r="A37" s="20">
        <v>100</v>
      </c>
      <c r="B37" s="68">
        <f t="shared" ref="B37:B64" si="7">B36+1</f>
        <v>3</v>
      </c>
      <c r="C37" s="20">
        <f t="shared" si="0"/>
        <v>76</v>
      </c>
      <c r="D37" s="20">
        <f t="shared" si="1"/>
        <v>124</v>
      </c>
      <c r="E37" s="20">
        <f t="shared" si="2"/>
        <v>10.954451150103322</v>
      </c>
      <c r="F37" s="22">
        <f t="shared" si="5"/>
        <v>1.0040636042234634E-22</v>
      </c>
      <c r="G37" s="22">
        <f t="shared" si="6"/>
        <v>1.1176759664693567E-57</v>
      </c>
      <c r="H37" s="22">
        <f t="shared" si="3"/>
        <v>5.5406223843935098E+34</v>
      </c>
      <c r="I37" s="20">
        <f t="shared" si="4"/>
        <v>8.1166282602767012E-20</v>
      </c>
    </row>
    <row r="38" spans="1:9" x14ac:dyDescent="0.2">
      <c r="A38" s="20">
        <v>100</v>
      </c>
      <c r="B38" s="68">
        <f t="shared" si="7"/>
        <v>4</v>
      </c>
      <c r="C38" s="20">
        <f t="shared" si="0"/>
        <v>68</v>
      </c>
      <c r="D38" s="20">
        <f t="shared" si="1"/>
        <v>132</v>
      </c>
      <c r="E38" s="20">
        <f t="shared" si="2"/>
        <v>12.649110640673518</v>
      </c>
      <c r="F38" s="22">
        <f t="shared" si="5"/>
        <v>2.9016972125628953E-14</v>
      </c>
      <c r="G38" s="22">
        <f t="shared" si="6"/>
        <v>2.7306775798374862E-49</v>
      </c>
      <c r="H38" s="22">
        <f t="shared" si="3"/>
        <v>5.5406223843935098E+34</v>
      </c>
      <c r="I38" s="20">
        <f t="shared" si="4"/>
        <v>2.2073312724519014E-11</v>
      </c>
    </row>
    <row r="39" spans="1:9" x14ac:dyDescent="0.2">
      <c r="A39" s="20">
        <v>100</v>
      </c>
      <c r="B39" s="68">
        <f t="shared" si="7"/>
        <v>5</v>
      </c>
      <c r="C39" s="20">
        <f t="shared" si="0"/>
        <v>60</v>
      </c>
      <c r="D39" s="20">
        <f t="shared" si="1"/>
        <v>140</v>
      </c>
      <c r="E39" s="20">
        <f t="shared" si="2"/>
        <v>14.142135623730951</v>
      </c>
      <c r="F39" s="22">
        <f t="shared" si="5"/>
        <v>1.9731752900754028E-9</v>
      </c>
      <c r="G39" s="22">
        <f t="shared" si="6"/>
        <v>1.5587073638385603E-44</v>
      </c>
      <c r="H39" s="22">
        <f t="shared" si="3"/>
        <v>5.5406223843935098E+34</v>
      </c>
      <c r="I39" s="20">
        <f t="shared" si="4"/>
        <v>1.4183980905778477E-6</v>
      </c>
    </row>
    <row r="40" spans="1:9" x14ac:dyDescent="0.2">
      <c r="A40" s="20">
        <v>100</v>
      </c>
      <c r="B40" s="68">
        <f t="shared" si="7"/>
        <v>6</v>
      </c>
      <c r="C40" s="20">
        <f t="shared" si="0"/>
        <v>52</v>
      </c>
      <c r="D40" s="20">
        <f t="shared" si="1"/>
        <v>148</v>
      </c>
      <c r="E40" s="20">
        <f t="shared" si="2"/>
        <v>15.491933384829668</v>
      </c>
      <c r="F40" s="22">
        <f t="shared" si="5"/>
        <v>2.0652857961262105E-6</v>
      </c>
      <c r="G40" s="22">
        <f t="shared" si="6"/>
        <v>1.3561625012089485E-41</v>
      </c>
      <c r="H40" s="22">
        <f t="shared" si="3"/>
        <v>5.5406223843935098E+34</v>
      </c>
      <c r="I40" s="20">
        <f t="shared" si="4"/>
        <v>1.4083421136167748E-3</v>
      </c>
    </row>
    <row r="41" spans="1:9" x14ac:dyDescent="0.2">
      <c r="A41" s="20">
        <v>100</v>
      </c>
      <c r="B41" s="68">
        <f t="shared" si="7"/>
        <v>7</v>
      </c>
      <c r="C41" s="20">
        <f t="shared" si="0"/>
        <v>44</v>
      </c>
      <c r="D41" s="20">
        <f t="shared" si="1"/>
        <v>156</v>
      </c>
      <c r="E41" s="20">
        <f t="shared" si="2"/>
        <v>16.733200530681511</v>
      </c>
      <c r="F41" s="22">
        <f t="shared" si="5"/>
        <v>2.0026757491721015E-4</v>
      </c>
      <c r="G41" s="22">
        <f t="shared" si="6"/>
        <v>1.078999745061282E-39</v>
      </c>
      <c r="H41" s="22">
        <f t="shared" si="3"/>
        <v>5.5406223843935098E+34</v>
      </c>
      <c r="I41" s="20">
        <f t="shared" si="4"/>
        <v>0.13002543815981224</v>
      </c>
    </row>
    <row r="42" spans="1:9" x14ac:dyDescent="0.2">
      <c r="A42" s="20">
        <v>100</v>
      </c>
      <c r="B42" s="68">
        <f t="shared" si="7"/>
        <v>8</v>
      </c>
      <c r="C42" s="20">
        <f t="shared" si="0"/>
        <v>36</v>
      </c>
      <c r="D42" s="20">
        <f t="shared" si="1"/>
        <v>164</v>
      </c>
      <c r="E42" s="20">
        <f t="shared" si="2"/>
        <v>17.888543819998318</v>
      </c>
      <c r="F42" s="22">
        <f t="shared" si="5"/>
        <v>4.4265258579198321E-3</v>
      </c>
      <c r="G42" s="22">
        <f t="shared" si="6"/>
        <v>1.9237950064676934E-38</v>
      </c>
      <c r="H42" s="22">
        <f t="shared" si="3"/>
        <v>5.5406223843935098E+34</v>
      </c>
      <c r="I42" s="20">
        <f t="shared" si="4"/>
        <v>2.7462140127508841</v>
      </c>
    </row>
    <row r="43" spans="1:9" x14ac:dyDescent="0.2">
      <c r="A43" s="20">
        <v>100</v>
      </c>
      <c r="B43" s="68">
        <f t="shared" si="7"/>
        <v>9</v>
      </c>
      <c r="C43" s="20">
        <f t="shared" si="0"/>
        <v>28</v>
      </c>
      <c r="D43" s="20">
        <f t="shared" si="1"/>
        <v>172</v>
      </c>
      <c r="E43" s="20">
        <f t="shared" si="2"/>
        <v>18.973665961010276</v>
      </c>
      <c r="F43" s="22">
        <f t="shared" si="5"/>
        <v>3.6888425707049866E-2</v>
      </c>
      <c r="G43" s="22">
        <f t="shared" si="6"/>
        <v>1.2649957652594394E-37</v>
      </c>
      <c r="H43" s="22">
        <f t="shared" si="3"/>
        <v>5.5406223843935098E+34</v>
      </c>
      <c r="I43" s="20">
        <f t="shared" si="4"/>
        <v>21.948644780104658</v>
      </c>
    </row>
    <row r="44" spans="1:9" x14ac:dyDescent="0.2">
      <c r="A44" s="20">
        <v>100</v>
      </c>
      <c r="B44" s="68">
        <f t="shared" si="7"/>
        <v>10</v>
      </c>
      <c r="C44" s="20">
        <f t="shared" si="0"/>
        <v>20</v>
      </c>
      <c r="D44" s="20">
        <f t="shared" si="1"/>
        <v>180</v>
      </c>
      <c r="E44" s="20">
        <f t="shared" si="2"/>
        <v>20</v>
      </c>
      <c r="F44" s="22">
        <f t="shared" si="5"/>
        <v>0.15729920705028513</v>
      </c>
      <c r="G44" s="22">
        <f t="shared" si="6"/>
        <v>4.1370317465138118E-37</v>
      </c>
      <c r="H44" s="22">
        <f t="shared" si="3"/>
        <v>5.5406223843935098E+34</v>
      </c>
      <c r="I44" s="20">
        <f t="shared" si="4"/>
        <v>90.11046887498307</v>
      </c>
    </row>
    <row r="45" spans="1:9" x14ac:dyDescent="0.2">
      <c r="A45" s="20">
        <v>100</v>
      </c>
      <c r="B45" s="68">
        <f t="shared" si="7"/>
        <v>11</v>
      </c>
      <c r="C45" s="20">
        <f t="shared" si="0"/>
        <v>12</v>
      </c>
      <c r="D45" s="20">
        <f t="shared" si="1"/>
        <v>188</v>
      </c>
      <c r="E45" s="20">
        <f t="shared" si="2"/>
        <v>20.976176963403031</v>
      </c>
      <c r="F45" s="22">
        <f t="shared" si="5"/>
        <v>0.41849223344681979</v>
      </c>
      <c r="G45" s="22">
        <f t="shared" si="6"/>
        <v>8.1402887167353511E-37</v>
      </c>
      <c r="H45" s="22">
        <f t="shared" si="3"/>
        <v>5.5406223843935098E+34</v>
      </c>
      <c r="I45" s="20">
        <f t="shared" si="4"/>
        <v>231.79724966309482</v>
      </c>
    </row>
    <row r="46" spans="1:9" x14ac:dyDescent="0.2">
      <c r="A46" s="20">
        <v>100</v>
      </c>
      <c r="B46" s="68">
        <f t="shared" si="7"/>
        <v>12</v>
      </c>
      <c r="C46" s="20">
        <f t="shared" si="0"/>
        <v>4</v>
      </c>
      <c r="D46" s="20">
        <f t="shared" si="1"/>
        <v>196</v>
      </c>
      <c r="E46" s="20">
        <f t="shared" si="2"/>
        <v>21.908902300206645</v>
      </c>
      <c r="F46" s="22">
        <f t="shared" si="5"/>
        <v>0.79625341473763922</v>
      </c>
      <c r="G46" s="22">
        <f t="shared" si="6"/>
        <v>1.0941641758970697E-36</v>
      </c>
      <c r="H46" s="22">
        <f t="shared" si="3"/>
        <v>5.5406223843935098E+34</v>
      </c>
      <c r="I46" s="20">
        <f t="shared" si="4"/>
        <v>428.43845999470352</v>
      </c>
    </row>
    <row r="47" spans="1:9" x14ac:dyDescent="0.2">
      <c r="A47" s="20">
        <v>100</v>
      </c>
      <c r="B47" s="68">
        <f t="shared" si="7"/>
        <v>13</v>
      </c>
      <c r="C47" s="20">
        <f t="shared" si="0"/>
        <v>-4</v>
      </c>
      <c r="D47" s="20">
        <f t="shared" si="1"/>
        <v>204</v>
      </c>
      <c r="E47" s="20">
        <f t="shared" si="2"/>
        <v>22.803508501982758</v>
      </c>
      <c r="F47" s="22">
        <f t="shared" si="5"/>
        <v>1.1959193425280386</v>
      </c>
      <c r="G47" s="22">
        <f t="shared" si="6"/>
        <v>1.0969906847869979E-36</v>
      </c>
      <c r="H47" s="22">
        <f t="shared" si="3"/>
        <v>5.5406223843935098E+34</v>
      </c>
      <c r="I47" s="20">
        <f t="shared" si="4"/>
        <v>628.34972698202932</v>
      </c>
    </row>
    <row r="48" spans="1:9" x14ac:dyDescent="0.2">
      <c r="A48" s="20">
        <v>100</v>
      </c>
      <c r="B48" s="68">
        <f t="shared" si="7"/>
        <v>14</v>
      </c>
      <c r="C48" s="20">
        <f t="shared" si="0"/>
        <v>-12</v>
      </c>
      <c r="D48" s="20">
        <f t="shared" si="1"/>
        <v>212</v>
      </c>
      <c r="E48" s="20">
        <f t="shared" si="2"/>
        <v>23.664319132398465</v>
      </c>
      <c r="F48" s="22">
        <f t="shared" si="5"/>
        <v>1.5267105346199101</v>
      </c>
      <c r="G48" s="22">
        <f t="shared" si="6"/>
        <v>8.7354281501664546E-37</v>
      </c>
      <c r="H48" s="22">
        <f t="shared" si="3"/>
        <v>5.5406223843935098E+34</v>
      </c>
      <c r="I48" s="20">
        <f t="shared" si="4"/>
        <v>787.55512168299185</v>
      </c>
    </row>
    <row r="49" spans="1:9" x14ac:dyDescent="0.2">
      <c r="A49" s="20">
        <v>100</v>
      </c>
      <c r="B49" s="68">
        <f t="shared" si="7"/>
        <v>15</v>
      </c>
      <c r="C49" s="20">
        <f t="shared" si="0"/>
        <v>-20</v>
      </c>
      <c r="D49" s="20">
        <f t="shared" si="1"/>
        <v>220</v>
      </c>
      <c r="E49" s="20">
        <f t="shared" si="2"/>
        <v>24.494897427831781</v>
      </c>
      <c r="F49" s="22">
        <f t="shared" si="5"/>
        <v>1.7517869210100765</v>
      </c>
      <c r="G49" s="22">
        <f t="shared" si="6"/>
        <v>5.7854665195140248E-37</v>
      </c>
      <c r="H49" s="22">
        <f t="shared" si="3"/>
        <v>5.5406223843935098E+34</v>
      </c>
      <c r="I49" s="20">
        <f t="shared" si="4"/>
        <v>891.92100315612754</v>
      </c>
    </row>
    <row r="50" spans="1:9" x14ac:dyDescent="0.2">
      <c r="A50" s="20">
        <v>100</v>
      </c>
      <c r="B50" s="68">
        <f t="shared" si="7"/>
        <v>16</v>
      </c>
      <c r="C50" s="20">
        <f t="shared" si="0"/>
        <v>-28</v>
      </c>
      <c r="D50" s="20">
        <f t="shared" si="1"/>
        <v>228</v>
      </c>
      <c r="E50" s="20">
        <f t="shared" si="2"/>
        <v>25.298221281347036</v>
      </c>
      <c r="F50" s="22">
        <f t="shared" si="5"/>
        <v>1.8824751319033608</v>
      </c>
      <c r="G50" s="22">
        <f t="shared" si="6"/>
        <v>3.2989630531769345E-37</v>
      </c>
      <c r="H50" s="22">
        <f t="shared" si="3"/>
        <v>5.5406223843935098E+34</v>
      </c>
      <c r="I50" s="20">
        <f t="shared" si="4"/>
        <v>950.37672022053994</v>
      </c>
    </row>
    <row r="51" spans="1:9" x14ac:dyDescent="0.2">
      <c r="A51" s="20">
        <v>100</v>
      </c>
      <c r="B51" s="68">
        <f t="shared" si="7"/>
        <v>17</v>
      </c>
      <c r="C51" s="20">
        <f t="shared" si="0"/>
        <v>-36</v>
      </c>
      <c r="D51" s="20">
        <f t="shared" si="1"/>
        <v>236</v>
      </c>
      <c r="E51" s="20">
        <f t="shared" si="2"/>
        <v>26.076809620810597</v>
      </c>
      <c r="F51" s="22">
        <f t="shared" si="5"/>
        <v>1.9491061967026977</v>
      </c>
      <c r="G51" s="22">
        <f t="shared" si="6"/>
        <v>1.6629641557962808E-37</v>
      </c>
      <c r="H51" s="22">
        <f t="shared" si="3"/>
        <v>5.5406223843935098E+34</v>
      </c>
      <c r="I51" s="20">
        <f t="shared" si="4"/>
        <v>979.16002656437331</v>
      </c>
    </row>
    <row r="52" spans="1:9" x14ac:dyDescent="0.2">
      <c r="A52" s="20">
        <v>100</v>
      </c>
      <c r="B52" s="68">
        <f t="shared" si="7"/>
        <v>18</v>
      </c>
      <c r="C52" s="20">
        <f t="shared" si="0"/>
        <v>-44</v>
      </c>
      <c r="D52" s="20">
        <f t="shared" si="1"/>
        <v>244</v>
      </c>
      <c r="E52" s="20">
        <f t="shared" si="2"/>
        <v>26.832815729997478</v>
      </c>
      <c r="F52" s="22">
        <f t="shared" si="5"/>
        <v>1.979605159816624</v>
      </c>
      <c r="G52" s="22">
        <f t="shared" si="6"/>
        <v>7.5645973041982827E-38</v>
      </c>
      <c r="H52" s="22">
        <f t="shared" si="3"/>
        <v>5.5406223843935098E+34</v>
      </c>
      <c r="I52" s="20">
        <f t="shared" si="4"/>
        <v>991.89820876594013</v>
      </c>
    </row>
    <row r="53" spans="1:9" x14ac:dyDescent="0.2">
      <c r="A53" s="20">
        <v>100</v>
      </c>
      <c r="B53" s="68">
        <f t="shared" si="7"/>
        <v>19</v>
      </c>
      <c r="C53" s="20">
        <f t="shared" si="0"/>
        <v>-52</v>
      </c>
      <c r="D53" s="20">
        <f t="shared" si="1"/>
        <v>252</v>
      </c>
      <c r="E53" s="20">
        <f t="shared" si="2"/>
        <v>27.568097504180443</v>
      </c>
      <c r="F53" s="22">
        <f t="shared" si="5"/>
        <v>1.9923592051752901</v>
      </c>
      <c r="G53" s="22">
        <f t="shared" si="6"/>
        <v>3.1560053232911969E-38</v>
      </c>
      <c r="H53" s="22">
        <f t="shared" si="3"/>
        <v>5.5406223843935098E+34</v>
      </c>
      <c r="I53" s="20">
        <f t="shared" si="4"/>
        <v>997.05391427461961</v>
      </c>
    </row>
    <row r="54" spans="1:9" x14ac:dyDescent="0.2">
      <c r="A54" s="20">
        <v>100</v>
      </c>
      <c r="B54" s="68">
        <f t="shared" si="7"/>
        <v>20</v>
      </c>
      <c r="C54" s="20">
        <f t="shared" si="0"/>
        <v>-60</v>
      </c>
      <c r="D54" s="20">
        <f t="shared" si="1"/>
        <v>260</v>
      </c>
      <c r="E54" s="20">
        <f t="shared" si="2"/>
        <v>28.284271247461902</v>
      </c>
      <c r="F54" s="22">
        <f t="shared" si="5"/>
        <v>1.9973002039367398</v>
      </c>
      <c r="G54" s="22">
        <f t="shared" si="6"/>
        <v>1.2234328799099763E-38</v>
      </c>
      <c r="H54" s="22">
        <f t="shared" si="3"/>
        <v>5.5406223843935098E+34</v>
      </c>
      <c r="I54" s="20">
        <f t="shared" si="4"/>
        <v>998.98903094838158</v>
      </c>
    </row>
    <row r="55" spans="1:9" x14ac:dyDescent="0.2">
      <c r="A55" s="20">
        <v>100</v>
      </c>
      <c r="B55" s="68">
        <f t="shared" si="7"/>
        <v>21</v>
      </c>
      <c r="C55" s="20">
        <f t="shared" si="0"/>
        <v>-68</v>
      </c>
      <c r="D55" s="20">
        <f t="shared" si="1"/>
        <v>268</v>
      </c>
      <c r="E55" s="20">
        <f t="shared" si="2"/>
        <v>28.982753492378876</v>
      </c>
      <c r="F55" s="22">
        <f t="shared" si="5"/>
        <v>1.9990935506967316</v>
      </c>
      <c r="G55" s="22">
        <f t="shared" si="6"/>
        <v>4.4532814798389992E-39</v>
      </c>
      <c r="H55" s="22">
        <f t="shared" si="3"/>
        <v>5.5406223843935098E+34</v>
      </c>
      <c r="I55" s="20">
        <f t="shared" si="4"/>
        <v>999.67014510362173</v>
      </c>
    </row>
    <row r="56" spans="1:9" x14ac:dyDescent="0.2">
      <c r="A56" s="20">
        <v>100</v>
      </c>
      <c r="B56" s="68">
        <f t="shared" si="7"/>
        <v>22</v>
      </c>
      <c r="C56" s="20">
        <f t="shared" si="0"/>
        <v>-76</v>
      </c>
      <c r="D56" s="20">
        <f t="shared" si="1"/>
        <v>276</v>
      </c>
      <c r="E56" s="20">
        <f t="shared" si="2"/>
        <v>29.664793948382652</v>
      </c>
      <c r="F56" s="22">
        <f t="shared" si="5"/>
        <v>1.9997089718941823</v>
      </c>
      <c r="G56" s="22">
        <f t="shared" si="6"/>
        <v>1.5352334214521769E-39</v>
      </c>
      <c r="H56" s="22">
        <f t="shared" si="3"/>
        <v>5.5406223843935098E+34</v>
      </c>
      <c r="I56" s="20">
        <f t="shared" si="4"/>
        <v>999.89701669039198</v>
      </c>
    </row>
    <row r="57" spans="1:9" x14ac:dyDescent="0.2">
      <c r="A57" s="20">
        <v>100</v>
      </c>
      <c r="B57" s="68">
        <f t="shared" si="7"/>
        <v>23</v>
      </c>
      <c r="C57" s="20">
        <f t="shared" si="0"/>
        <v>-84</v>
      </c>
      <c r="D57" s="20">
        <f t="shared" si="1"/>
        <v>284</v>
      </c>
      <c r="E57" s="20">
        <f t="shared" si="2"/>
        <v>30.331501776206203</v>
      </c>
      <c r="F57" s="22">
        <f t="shared" si="5"/>
        <v>1.999910163706349</v>
      </c>
      <c r="G57" s="22">
        <f t="shared" si="6"/>
        <v>5.0483529461047901E-40</v>
      </c>
      <c r="H57" s="22">
        <f t="shared" si="3"/>
        <v>5.5406223843935098E+34</v>
      </c>
      <c r="I57" s="20">
        <f t="shared" si="4"/>
        <v>999.96906736184326</v>
      </c>
    </row>
    <row r="58" spans="1:9" x14ac:dyDescent="0.2">
      <c r="A58" s="20">
        <v>100</v>
      </c>
      <c r="B58" s="68">
        <f t="shared" si="7"/>
        <v>24</v>
      </c>
      <c r="C58" s="20">
        <f t="shared" si="0"/>
        <v>-92</v>
      </c>
      <c r="D58" s="20">
        <f t="shared" si="1"/>
        <v>292</v>
      </c>
      <c r="E58" s="20">
        <f t="shared" si="2"/>
        <v>30.983866769659336</v>
      </c>
      <c r="F58" s="22">
        <f t="shared" si="5"/>
        <v>1.9999732147765745</v>
      </c>
      <c r="G58" s="22">
        <f t="shared" si="6"/>
        <v>1.5928621466350403E-40</v>
      </c>
      <c r="H58" s="22">
        <f t="shared" si="3"/>
        <v>5.5406223843935098E+34</v>
      </c>
      <c r="I58" s="20">
        <f t="shared" si="4"/>
        <v>999.99102011211971</v>
      </c>
    </row>
    <row r="59" spans="1:9" x14ac:dyDescent="0.2">
      <c r="A59" s="20">
        <v>100</v>
      </c>
      <c r="B59" s="68">
        <f t="shared" si="7"/>
        <v>25</v>
      </c>
      <c r="C59" s="20">
        <f t="shared" si="0"/>
        <v>-100</v>
      </c>
      <c r="D59" s="20">
        <f t="shared" si="1"/>
        <v>300</v>
      </c>
      <c r="E59" s="20">
        <f t="shared" si="2"/>
        <v>31.622776601683793</v>
      </c>
      <c r="F59" s="22">
        <f t="shared" si="5"/>
        <v>1.999992255783569</v>
      </c>
      <c r="G59" s="22">
        <f t="shared" si="6"/>
        <v>4.8464118424053328E-41</v>
      </c>
      <c r="H59" s="22">
        <f t="shared" si="3"/>
        <v>5.5406223843935098E+34</v>
      </c>
      <c r="I59" s="20">
        <f t="shared" si="4"/>
        <v>999.99747049868142</v>
      </c>
    </row>
    <row r="60" spans="1:9" x14ac:dyDescent="0.2">
      <c r="A60" s="20">
        <v>100</v>
      </c>
      <c r="B60" s="68">
        <f t="shared" si="7"/>
        <v>26</v>
      </c>
      <c r="C60" s="20">
        <f t="shared" si="0"/>
        <v>-108</v>
      </c>
      <c r="D60" s="20">
        <f t="shared" si="1"/>
        <v>308</v>
      </c>
      <c r="E60" s="20">
        <f t="shared" si="2"/>
        <v>32.249030993194197</v>
      </c>
      <c r="F60" s="22">
        <f t="shared" si="5"/>
        <v>1.9999978214417837</v>
      </c>
      <c r="G60" s="22">
        <f t="shared" si="6"/>
        <v>1.4279203692967135E-41</v>
      </c>
      <c r="H60" s="22">
        <f t="shared" si="3"/>
        <v>5.5406223843935098E+34</v>
      </c>
      <c r="I60" s="20">
        <f t="shared" si="4"/>
        <v>999.99930629926996</v>
      </c>
    </row>
    <row r="61" spans="1:9" x14ac:dyDescent="0.2">
      <c r="A61" s="20">
        <v>100</v>
      </c>
      <c r="B61" s="68">
        <f t="shared" si="7"/>
        <v>27</v>
      </c>
      <c r="C61" s="20">
        <f t="shared" si="0"/>
        <v>-116</v>
      </c>
      <c r="D61" s="20">
        <f t="shared" si="1"/>
        <v>316</v>
      </c>
      <c r="E61" s="20">
        <f t="shared" si="2"/>
        <v>32.863353450309965</v>
      </c>
      <c r="F61" s="22">
        <f t="shared" si="5"/>
        <v>1.9999994019482106</v>
      </c>
      <c r="G61" s="22">
        <f t="shared" si="6"/>
        <v>4.0887082737173581E-42</v>
      </c>
      <c r="H61" s="22">
        <f t="shared" si="3"/>
        <v>5.5406223843935098E+34</v>
      </c>
      <c r="I61" s="20">
        <f t="shared" si="4"/>
        <v>999.99981424404814</v>
      </c>
    </row>
    <row r="62" spans="1:9" x14ac:dyDescent="0.2">
      <c r="A62" s="20">
        <v>100</v>
      </c>
      <c r="B62" s="68">
        <f t="shared" si="7"/>
        <v>28</v>
      </c>
      <c r="C62" s="20">
        <f t="shared" si="0"/>
        <v>-124</v>
      </c>
      <c r="D62" s="20">
        <f t="shared" si="1"/>
        <v>324</v>
      </c>
      <c r="E62" s="20">
        <f t="shared" si="2"/>
        <v>33.466401061363023</v>
      </c>
      <c r="F62" s="22">
        <f t="shared" si="5"/>
        <v>1.9999998393854415</v>
      </c>
      <c r="G62" s="22">
        <f t="shared" si="6"/>
        <v>1.1413032228560624E-42</v>
      </c>
      <c r="H62" s="22">
        <f t="shared" si="3"/>
        <v>5.5406223843935098E+34</v>
      </c>
      <c r="I62" s="20">
        <f t="shared" si="4"/>
        <v>999.99995131037167</v>
      </c>
    </row>
    <row r="63" spans="1:9" x14ac:dyDescent="0.2">
      <c r="A63" s="20">
        <v>100</v>
      </c>
      <c r="B63" s="68">
        <f t="shared" si="7"/>
        <v>29</v>
      </c>
      <c r="C63" s="20">
        <f t="shared" si="0"/>
        <v>-132</v>
      </c>
      <c r="D63" s="20">
        <f t="shared" si="1"/>
        <v>332</v>
      </c>
      <c r="E63" s="20">
        <f t="shared" si="2"/>
        <v>34.058772731852805</v>
      </c>
      <c r="F63" s="22">
        <f t="shared" si="5"/>
        <v>1.9999999577075511</v>
      </c>
      <c r="G63" s="22">
        <f t="shared" si="6"/>
        <v>3.1138582476796146E-43</v>
      </c>
      <c r="H63" s="22">
        <f t="shared" si="3"/>
        <v>5.5406223843935098E+34</v>
      </c>
      <c r="I63" s="20">
        <f t="shared" si="4"/>
        <v>999.99998748013195</v>
      </c>
    </row>
    <row r="64" spans="1:9" x14ac:dyDescent="0.2">
      <c r="A64" s="20">
        <v>100</v>
      </c>
      <c r="B64" s="68">
        <f t="shared" si="7"/>
        <v>30</v>
      </c>
      <c r="C64" s="20">
        <f t="shared" si="0"/>
        <v>-140</v>
      </c>
      <c r="D64" s="20">
        <f t="shared" si="1"/>
        <v>340</v>
      </c>
      <c r="E64" s="20">
        <f t="shared" si="2"/>
        <v>34.641016151377549</v>
      </c>
      <c r="F64" s="22">
        <f t="shared" si="5"/>
        <v>1.9999999890602682</v>
      </c>
      <c r="G64" s="22">
        <f t="shared" si="6"/>
        <v>8.3229269456544029E-44</v>
      </c>
      <c r="H64" s="22">
        <f t="shared" si="3"/>
        <v>5.5406223843935098E+34</v>
      </c>
      <c r="I64" s="20">
        <f t="shared" si="4"/>
        <v>999.99999683584383</v>
      </c>
    </row>
  </sheetData>
  <mergeCells count="2">
    <mergeCell ref="A26:I26"/>
    <mergeCell ref="A21:I21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100"/>
  <sheetViews>
    <sheetView topLeftCell="A3" workbookViewId="0">
      <selection activeCell="O28" sqref="O28"/>
    </sheetView>
  </sheetViews>
  <sheetFormatPr baseColWidth="10" defaultRowHeight="16" x14ac:dyDescent="0.2"/>
  <cols>
    <col min="1" max="1" width="19.33203125" customWidth="1"/>
    <col min="2" max="8" width="11" bestFit="1" customWidth="1"/>
    <col min="9" max="9" width="12.33203125" bestFit="1" customWidth="1"/>
    <col min="10" max="10" width="12.33203125" customWidth="1"/>
    <col min="11" max="11" width="12.1640625" bestFit="1" customWidth="1"/>
    <col min="12" max="12" width="13" customWidth="1"/>
    <col min="13" max="13" width="11" bestFit="1" customWidth="1"/>
  </cols>
  <sheetData>
    <row r="1" spans="1:13" x14ac:dyDescent="0.2">
      <c r="A1" s="3" t="s">
        <v>32</v>
      </c>
      <c r="B1" s="3" t="s">
        <v>336</v>
      </c>
      <c r="C1" s="3"/>
      <c r="D1" s="3"/>
      <c r="E1" s="3"/>
      <c r="F1" s="3"/>
      <c r="G1" s="3"/>
      <c r="H1" s="3"/>
      <c r="K1" s="3"/>
      <c r="L1" s="3"/>
      <c r="M1" s="3"/>
    </row>
    <row r="2" spans="1:13" x14ac:dyDescent="0.2">
      <c r="A2" s="3" t="s">
        <v>191</v>
      </c>
      <c r="B2" s="3" t="s">
        <v>208</v>
      </c>
      <c r="C2" s="3"/>
      <c r="D2" s="3"/>
      <c r="E2" s="3"/>
      <c r="F2" s="3"/>
      <c r="G2" s="3"/>
      <c r="H2" s="3"/>
      <c r="K2" s="3"/>
      <c r="L2" s="3"/>
      <c r="M2" s="3"/>
    </row>
    <row r="3" spans="1:13" x14ac:dyDescent="0.2">
      <c r="A3" s="3" t="s">
        <v>273</v>
      </c>
      <c r="B3" s="3">
        <v>1</v>
      </c>
      <c r="C3" s="3"/>
      <c r="D3" s="3"/>
      <c r="E3" s="3"/>
      <c r="F3" s="3"/>
      <c r="G3" s="3"/>
      <c r="H3" s="3"/>
      <c r="K3" s="3"/>
      <c r="L3" s="3"/>
      <c r="M3" s="3"/>
    </row>
    <row r="4" spans="1:13" x14ac:dyDescent="0.2">
      <c r="A4" s="3" t="s">
        <v>274</v>
      </c>
      <c r="B4" s="3" t="s">
        <v>19</v>
      </c>
      <c r="C4" s="3"/>
      <c r="D4" s="3"/>
      <c r="E4" s="3"/>
      <c r="F4" s="3"/>
      <c r="G4" s="3"/>
      <c r="H4" s="3"/>
      <c r="K4" s="3"/>
      <c r="L4" s="3"/>
      <c r="M4" s="3"/>
    </row>
    <row r="5" spans="1:13" x14ac:dyDescent="0.2">
      <c r="A5" s="3" t="s">
        <v>275</v>
      </c>
      <c r="B5" s="3" t="s">
        <v>19</v>
      </c>
      <c r="C5" s="3"/>
      <c r="D5" s="3"/>
      <c r="E5" s="3"/>
      <c r="F5" s="3"/>
      <c r="G5" s="3"/>
      <c r="H5" s="3"/>
      <c r="K5" s="3"/>
      <c r="L5" s="3"/>
      <c r="M5" s="3"/>
    </row>
    <row r="6" spans="1:13" x14ac:dyDescent="0.2">
      <c r="A6" s="3" t="s">
        <v>276</v>
      </c>
      <c r="B6" s="3" t="s">
        <v>352</v>
      </c>
      <c r="C6" s="3"/>
      <c r="D6" s="3"/>
      <c r="E6" s="3"/>
      <c r="F6" s="3"/>
      <c r="G6" s="3"/>
      <c r="H6" s="3"/>
      <c r="K6" s="3"/>
      <c r="L6" s="3"/>
      <c r="M6" s="3"/>
    </row>
    <row r="7" spans="1:13" x14ac:dyDescent="0.2">
      <c r="A7" s="3" t="s">
        <v>277</v>
      </c>
      <c r="B7" s="3" t="s">
        <v>24</v>
      </c>
      <c r="C7" s="3"/>
      <c r="D7" s="3"/>
      <c r="E7" s="3"/>
      <c r="F7" s="3"/>
      <c r="G7" s="3"/>
      <c r="H7" s="3"/>
      <c r="K7" s="3"/>
      <c r="L7" s="3"/>
      <c r="M7" s="3"/>
    </row>
    <row r="8" spans="1:13" x14ac:dyDescent="0.2">
      <c r="A8" s="3" t="s">
        <v>278</v>
      </c>
      <c r="B8" s="3" t="s">
        <v>26</v>
      </c>
      <c r="C8" s="3"/>
      <c r="D8" s="3"/>
      <c r="E8" s="3"/>
      <c r="F8" s="3"/>
      <c r="G8" s="3"/>
      <c r="H8" s="3"/>
      <c r="K8" s="3"/>
      <c r="L8" s="3"/>
      <c r="M8" s="3"/>
    </row>
    <row r="9" spans="1:13" x14ac:dyDescent="0.2">
      <c r="A9" s="3" t="s">
        <v>279</v>
      </c>
      <c r="B9" s="3" t="s">
        <v>26</v>
      </c>
      <c r="C9" s="3"/>
      <c r="D9" s="3"/>
      <c r="E9" s="3"/>
      <c r="F9" s="3"/>
      <c r="G9" s="3"/>
      <c r="H9" s="3"/>
      <c r="K9" s="3"/>
      <c r="L9" s="3"/>
      <c r="M9" s="3"/>
    </row>
    <row r="10" spans="1:13" x14ac:dyDescent="0.2">
      <c r="A10" s="3" t="s">
        <v>130</v>
      </c>
      <c r="B10" s="3" t="s">
        <v>353</v>
      </c>
      <c r="C10" s="3"/>
      <c r="D10" s="3"/>
      <c r="E10" s="3"/>
      <c r="F10" s="3"/>
      <c r="G10" s="3"/>
      <c r="H10" s="3"/>
      <c r="K10" s="3"/>
      <c r="L10" s="3"/>
      <c r="M10" s="3"/>
    </row>
    <row r="11" spans="1:13" x14ac:dyDescent="0.2">
      <c r="A11" s="3"/>
      <c r="B11" s="3"/>
      <c r="C11" s="3"/>
      <c r="D11" s="3"/>
      <c r="E11" s="3"/>
      <c r="F11" s="3"/>
      <c r="G11" s="3"/>
      <c r="H11" s="3"/>
      <c r="K11" s="3"/>
      <c r="L11" s="3"/>
      <c r="M11" s="3"/>
    </row>
    <row r="12" spans="1:13" x14ac:dyDescent="0.2">
      <c r="A12" s="3"/>
      <c r="B12" s="3"/>
      <c r="C12" s="3"/>
      <c r="D12" s="3"/>
      <c r="E12" s="3"/>
      <c r="F12" s="3"/>
      <c r="G12" s="3"/>
      <c r="H12" s="3"/>
      <c r="K12" s="3"/>
      <c r="L12" s="3"/>
      <c r="M12" s="3"/>
    </row>
    <row r="13" spans="1:13" x14ac:dyDescent="0.2">
      <c r="A13" s="3" t="s">
        <v>30</v>
      </c>
      <c r="B13" s="3"/>
      <c r="C13" s="3"/>
      <c r="D13" s="3"/>
      <c r="E13" s="3"/>
      <c r="F13" s="3"/>
      <c r="G13" s="3"/>
      <c r="H13" s="3"/>
      <c r="K13" s="3"/>
      <c r="L13" s="3"/>
      <c r="M13" s="3"/>
    </row>
    <row r="14" spans="1:13" x14ac:dyDescent="0.2">
      <c r="A14" s="3" t="s">
        <v>85</v>
      </c>
      <c r="B14" s="3" t="s">
        <v>86</v>
      </c>
      <c r="C14" s="3"/>
      <c r="D14" s="3"/>
      <c r="E14" s="3"/>
      <c r="F14" s="3"/>
      <c r="G14" s="3"/>
      <c r="H14" s="3"/>
      <c r="K14" s="3"/>
      <c r="L14" s="3"/>
      <c r="M14" s="3"/>
    </row>
    <row r="15" spans="1:13" x14ac:dyDescent="0.2">
      <c r="B15" s="3" t="s">
        <v>294</v>
      </c>
      <c r="C15" s="3"/>
      <c r="D15" s="3"/>
      <c r="E15" s="3"/>
      <c r="F15" s="3"/>
      <c r="G15" s="3"/>
      <c r="H15" s="3"/>
      <c r="K15" s="3"/>
      <c r="L15" s="3"/>
      <c r="M15" s="3"/>
    </row>
    <row r="16" spans="1:13" x14ac:dyDescent="0.2">
      <c r="A16" s="3" t="s">
        <v>87</v>
      </c>
      <c r="B16" s="3" t="s">
        <v>354</v>
      </c>
      <c r="C16" s="3"/>
      <c r="D16" s="3"/>
      <c r="E16" s="3"/>
      <c r="F16" s="3"/>
      <c r="G16" s="3"/>
      <c r="H16" s="3"/>
      <c r="K16" s="3"/>
      <c r="L16" s="3"/>
      <c r="M16" s="3"/>
    </row>
    <row r="17" spans="1:13" x14ac:dyDescent="0.2">
      <c r="A17" s="3"/>
      <c r="B17" s="3"/>
      <c r="C17" s="3"/>
      <c r="D17" s="3"/>
      <c r="E17" s="3"/>
      <c r="F17" s="3"/>
      <c r="G17" s="3"/>
      <c r="H17" s="3"/>
      <c r="K17" s="3"/>
      <c r="L17" s="3"/>
      <c r="M17" s="3"/>
    </row>
    <row r="18" spans="1:13" x14ac:dyDescent="0.2">
      <c r="A18" s="3" t="s">
        <v>93</v>
      </c>
      <c r="B18" s="3" t="s">
        <v>131</v>
      </c>
      <c r="C18" s="3"/>
      <c r="D18" s="3"/>
      <c r="E18" s="3"/>
      <c r="F18" s="3"/>
      <c r="G18" s="3"/>
      <c r="H18" s="3"/>
      <c r="K18" s="3"/>
      <c r="L18" s="3"/>
      <c r="M18" s="3"/>
    </row>
    <row r="19" spans="1:13" ht="17" thickBot="1" x14ac:dyDescent="0.25">
      <c r="A19" s="3"/>
      <c r="B19" s="3"/>
      <c r="C19" s="3"/>
      <c r="D19" s="3"/>
      <c r="E19" s="3"/>
      <c r="F19" s="3"/>
      <c r="G19" s="3"/>
      <c r="H19" s="3"/>
      <c r="K19" s="3"/>
      <c r="L19" s="3"/>
      <c r="M19" s="3"/>
    </row>
    <row r="20" spans="1:13" x14ac:dyDescent="0.2">
      <c r="A20" s="88" t="s">
        <v>33</v>
      </c>
      <c r="B20" s="89"/>
      <c r="C20" s="89"/>
      <c r="D20" s="89"/>
      <c r="E20" s="89"/>
      <c r="F20" s="89"/>
      <c r="G20" s="89"/>
      <c r="H20" s="90"/>
      <c r="I20" s="3"/>
      <c r="J20" s="3"/>
      <c r="K20" s="3"/>
      <c r="L20" s="3"/>
      <c r="M20" s="3"/>
    </row>
    <row r="21" spans="1:13" x14ac:dyDescent="0.2">
      <c r="A21" s="80" t="s">
        <v>34</v>
      </c>
      <c r="B21" s="81">
        <v>4</v>
      </c>
      <c r="C21" s="81" t="s">
        <v>338</v>
      </c>
      <c r="D21" s="81"/>
      <c r="E21" s="81" t="s">
        <v>329</v>
      </c>
      <c r="F21" s="81"/>
      <c r="G21" s="81"/>
      <c r="H21" s="82"/>
      <c r="I21" s="3"/>
      <c r="J21" s="3"/>
      <c r="K21" s="3"/>
      <c r="L21" s="3"/>
      <c r="M21" s="3"/>
    </row>
    <row r="22" spans="1:13" x14ac:dyDescent="0.2">
      <c r="A22" s="80" t="s">
        <v>166</v>
      </c>
      <c r="B22" s="81">
        <v>1</v>
      </c>
      <c r="C22" s="81" t="s">
        <v>355</v>
      </c>
      <c r="D22" s="81"/>
      <c r="E22" s="81"/>
      <c r="F22" s="81"/>
      <c r="G22" s="81"/>
      <c r="H22" s="82"/>
      <c r="I22" s="3"/>
      <c r="J22" s="3"/>
      <c r="K22" s="3"/>
      <c r="L22" s="3"/>
      <c r="M22" s="3"/>
    </row>
    <row r="23" spans="1:13" x14ac:dyDescent="0.2">
      <c r="A23" s="80" t="s">
        <v>36</v>
      </c>
      <c r="B23" s="81">
        <v>1</v>
      </c>
      <c r="C23" s="81" t="s">
        <v>37</v>
      </c>
      <c r="D23" s="81"/>
      <c r="E23" s="81" t="s">
        <v>38</v>
      </c>
      <c r="F23" s="81"/>
      <c r="G23" s="81"/>
      <c r="H23" s="82"/>
      <c r="I23" s="3"/>
      <c r="J23" s="3"/>
      <c r="K23" s="3"/>
      <c r="L23" s="3"/>
      <c r="M23" s="3"/>
    </row>
    <row r="24" spans="1:13" x14ac:dyDescent="0.2">
      <c r="A24" s="80" t="s">
        <v>39</v>
      </c>
      <c r="B24" s="81">
        <v>0.5</v>
      </c>
      <c r="C24" s="81" t="s">
        <v>40</v>
      </c>
      <c r="D24" s="81"/>
      <c r="E24" s="81"/>
      <c r="F24" s="81"/>
      <c r="G24" s="81"/>
      <c r="H24" s="82"/>
      <c r="I24" s="3"/>
      <c r="J24" s="3"/>
      <c r="K24" s="3"/>
      <c r="L24" s="3"/>
      <c r="M24" s="3"/>
    </row>
    <row r="25" spans="1:13" x14ac:dyDescent="0.2">
      <c r="A25" s="80" t="s">
        <v>41</v>
      </c>
      <c r="B25" s="81">
        <v>1</v>
      </c>
      <c r="C25" s="81" t="s">
        <v>42</v>
      </c>
      <c r="D25" s="81"/>
      <c r="E25" s="81" t="s">
        <v>330</v>
      </c>
      <c r="F25" s="81"/>
      <c r="G25" s="81"/>
      <c r="H25" s="82"/>
      <c r="I25" s="3"/>
      <c r="J25" s="3"/>
      <c r="K25" s="3"/>
      <c r="L25" s="3"/>
      <c r="M25" s="3"/>
    </row>
    <row r="26" spans="1:13" ht="17" thickBot="1" x14ac:dyDescent="0.25">
      <c r="A26" s="70"/>
      <c r="B26" s="71"/>
      <c r="C26" s="71"/>
      <c r="D26" s="71"/>
      <c r="E26" s="71"/>
      <c r="F26" s="72"/>
      <c r="G26" s="72"/>
      <c r="H26" s="73"/>
      <c r="I26" s="3"/>
      <c r="J26" s="3"/>
      <c r="K26" s="3"/>
      <c r="L26" s="3"/>
      <c r="M26" s="3"/>
    </row>
    <row r="27" spans="1:13" x14ac:dyDescent="0.2">
      <c r="A27" s="88" t="s">
        <v>49</v>
      </c>
      <c r="B27" s="89"/>
      <c r="C27" s="89"/>
      <c r="D27" s="89"/>
      <c r="E27" s="89"/>
      <c r="F27" s="89"/>
      <c r="G27" s="89"/>
      <c r="H27" s="90"/>
      <c r="I27" s="3"/>
      <c r="J27" s="3"/>
      <c r="K27" s="3"/>
      <c r="L27" s="3"/>
      <c r="M27" s="3"/>
    </row>
    <row r="28" spans="1:13" x14ac:dyDescent="0.2">
      <c r="A28" s="74" t="s">
        <v>50</v>
      </c>
      <c r="B28" s="75">
        <f>B23/B24</f>
        <v>2</v>
      </c>
      <c r="C28" s="75" t="s">
        <v>51</v>
      </c>
      <c r="D28" s="75"/>
      <c r="E28" s="75" t="s">
        <v>38</v>
      </c>
      <c r="F28" s="75"/>
      <c r="G28" s="75"/>
      <c r="H28" s="76"/>
      <c r="I28" s="3"/>
      <c r="J28" s="3"/>
      <c r="K28" s="3"/>
      <c r="L28" s="3"/>
      <c r="M28" s="3"/>
    </row>
    <row r="29" spans="1:13" x14ac:dyDescent="0.2">
      <c r="A29" s="74" t="s">
        <v>52</v>
      </c>
      <c r="B29" s="75">
        <f>B28/B25</f>
        <v>2</v>
      </c>
      <c r="C29" s="75"/>
      <c r="D29" s="75"/>
      <c r="E29" s="75"/>
      <c r="F29" s="75"/>
      <c r="G29" s="75"/>
      <c r="H29" s="76"/>
      <c r="I29" s="3"/>
      <c r="J29" s="3"/>
      <c r="K29" s="3"/>
      <c r="L29" s="3"/>
      <c r="M29" s="3"/>
    </row>
    <row r="30" spans="1:13" x14ac:dyDescent="0.2">
      <c r="A30" s="74" t="s">
        <v>339</v>
      </c>
      <c r="B30" s="75">
        <f>B28/(2*B25)</f>
        <v>1</v>
      </c>
      <c r="C30" s="75"/>
      <c r="D30" s="75"/>
      <c r="E30" s="75"/>
      <c r="F30" s="75"/>
      <c r="G30" s="75"/>
      <c r="H30" s="76"/>
      <c r="I30" s="3"/>
      <c r="J30" s="3"/>
      <c r="K30" s="3"/>
      <c r="L30" s="3"/>
      <c r="M30" s="3"/>
    </row>
    <row r="31" spans="1:13" x14ac:dyDescent="0.2">
      <c r="A31" s="74" t="s">
        <v>340</v>
      </c>
      <c r="B31" s="75">
        <f>B21*B22/B23</f>
        <v>4</v>
      </c>
      <c r="C31" s="75" t="s">
        <v>341</v>
      </c>
      <c r="D31" s="75"/>
      <c r="E31" s="75"/>
      <c r="F31" s="75"/>
      <c r="G31" s="75"/>
      <c r="H31" s="76"/>
      <c r="I31" s="3"/>
      <c r="J31" s="3"/>
      <c r="K31" s="3"/>
      <c r="L31" s="3"/>
      <c r="M31" s="3"/>
    </row>
    <row r="32" spans="1:13" x14ac:dyDescent="0.2">
      <c r="A32" s="74" t="s">
        <v>342</v>
      </c>
      <c r="B32" s="75">
        <f>B21*B22/(2*B24*B28)</f>
        <v>2</v>
      </c>
      <c r="C32" s="75"/>
      <c r="D32" s="75"/>
      <c r="E32" s="75"/>
      <c r="F32" s="75"/>
      <c r="G32" s="75"/>
      <c r="H32" s="76"/>
      <c r="I32" s="3"/>
      <c r="J32" s="3"/>
      <c r="K32" s="3"/>
      <c r="L32" s="3"/>
      <c r="M32" s="3"/>
    </row>
    <row r="33" spans="1:13" ht="17" thickBot="1" x14ac:dyDescent="0.25">
      <c r="A33" s="77" t="s">
        <v>73</v>
      </c>
      <c r="B33" s="78" t="str">
        <f>CONCATENATE("Concentration profile at t= ",B40," (years) from beginning of injection ")</f>
        <v xml:space="preserve">Concentration profile at t= 10 (years) from beginning of injection </v>
      </c>
      <c r="C33" s="78"/>
      <c r="D33" s="78"/>
      <c r="E33" s="78"/>
      <c r="F33" s="78"/>
      <c r="G33" s="78"/>
      <c r="H33" s="79"/>
      <c r="I33" s="3"/>
      <c r="J33" s="3"/>
      <c r="K33" s="3"/>
      <c r="L33" s="3"/>
      <c r="M33" s="3"/>
    </row>
    <row r="34" spans="1:13" x14ac:dyDescent="0.2">
      <c r="G34" s="3"/>
      <c r="H34" s="3"/>
      <c r="I34" s="3"/>
      <c r="J34" s="3"/>
      <c r="K34" s="3"/>
      <c r="L34" s="3"/>
      <c r="M34" s="3"/>
    </row>
    <row r="35" spans="1:13" x14ac:dyDescent="0.2">
      <c r="G35" s="3"/>
      <c r="H35" s="3"/>
      <c r="I35" s="3"/>
      <c r="J35" s="3"/>
      <c r="K35" s="3"/>
      <c r="L35" s="3"/>
      <c r="M35" s="3"/>
    </row>
    <row r="36" spans="1:13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2">
      <c r="A37" s="3"/>
      <c r="B37" s="3"/>
      <c r="C37" s="4"/>
      <c r="D37" s="5"/>
      <c r="E37" s="5" t="s">
        <v>53</v>
      </c>
      <c r="F37" s="5"/>
      <c r="G37" s="5"/>
      <c r="H37" s="5"/>
      <c r="I37" s="5"/>
      <c r="J37" s="6"/>
      <c r="K37" s="6"/>
      <c r="L37" s="6"/>
      <c r="M37" s="3" t="s">
        <v>109</v>
      </c>
    </row>
    <row r="38" spans="1:13" x14ac:dyDescent="0.2">
      <c r="A38" s="3" t="s">
        <v>54</v>
      </c>
      <c r="B38" s="3"/>
      <c r="C38" s="7" t="s">
        <v>55</v>
      </c>
      <c r="D38" s="8" t="s">
        <v>56</v>
      </c>
      <c r="E38" s="8" t="s">
        <v>57</v>
      </c>
      <c r="F38" s="8" t="s">
        <v>58</v>
      </c>
      <c r="G38" s="8" t="s">
        <v>59</v>
      </c>
      <c r="H38" s="9" t="s">
        <v>60</v>
      </c>
      <c r="I38" s="9" t="s">
        <v>61</v>
      </c>
      <c r="J38" s="9" t="s">
        <v>110</v>
      </c>
      <c r="K38" s="19" t="s">
        <v>111</v>
      </c>
      <c r="L38" s="19" t="s">
        <v>112</v>
      </c>
      <c r="M38" s="10" t="s">
        <v>113</v>
      </c>
    </row>
    <row r="39" spans="1:13" ht="95" x14ac:dyDescent="0.2">
      <c r="A39" s="11" t="s">
        <v>62</v>
      </c>
      <c r="B39" s="11" t="s">
        <v>63</v>
      </c>
      <c r="C39" s="12" t="s">
        <v>343</v>
      </c>
      <c r="D39" s="13" t="s">
        <v>344</v>
      </c>
      <c r="E39" s="13" t="s">
        <v>66</v>
      </c>
      <c r="F39" s="13" t="s">
        <v>345</v>
      </c>
      <c r="G39" s="13" t="s">
        <v>346</v>
      </c>
      <c r="H39" s="13" t="s">
        <v>347</v>
      </c>
      <c r="I39" s="13" t="s">
        <v>348</v>
      </c>
      <c r="J39" s="14" t="s">
        <v>349</v>
      </c>
      <c r="K39" s="14" t="s">
        <v>350</v>
      </c>
      <c r="L39" s="14" t="s">
        <v>351</v>
      </c>
      <c r="M39" s="11" t="s">
        <v>70</v>
      </c>
    </row>
    <row r="40" spans="1:13" x14ac:dyDescent="0.2">
      <c r="A40" s="3">
        <v>-5</v>
      </c>
      <c r="B40" s="3">
        <v>10</v>
      </c>
      <c r="C40" s="3">
        <f t="shared" ref="C40:C71" si="0">ABS(A40)-$B$28*B40</f>
        <v>-15</v>
      </c>
      <c r="D40" s="3">
        <f t="shared" ref="D40:D71" si="1">ABS(A40)+$B$28*B40</f>
        <v>25</v>
      </c>
      <c r="E40" s="3">
        <f t="shared" ref="E40:E71" si="2">2*SQRT($B$25*B40)</f>
        <v>6.324555320336759</v>
      </c>
      <c r="F40" s="3">
        <f>C40/E40</f>
        <v>-2.3717082451262845</v>
      </c>
      <c r="G40" s="3">
        <f>D40/E40</f>
        <v>3.9528470752104741</v>
      </c>
      <c r="H40">
        <f>ERFC(F40)</f>
        <v>1.9992037698424092</v>
      </c>
      <c r="I40">
        <f>ERFC(G40)</f>
        <v>2.2684748592600856E-8</v>
      </c>
      <c r="J40">
        <f t="shared" ref="J40:J71" si="3">EXP(A40*$B$30)</f>
        <v>6.737946999085467E-3</v>
      </c>
      <c r="K40">
        <f t="shared" ref="K40:K71" si="4">EXP(-ABS(A40)*$B$30)</f>
        <v>6.737946999085467E-3</v>
      </c>
      <c r="L40">
        <f t="shared" ref="L40:L71" si="5">EXP(ABS(A40)*$B$30)</f>
        <v>148.4131591025766</v>
      </c>
      <c r="M40" s="3">
        <f t="shared" ref="M40:M71" si="6">$B$32*J40*(K40*H40-L40*I40)</f>
        <v>1.814820519662954E-4</v>
      </c>
    </row>
    <row r="41" spans="1:13" x14ac:dyDescent="0.2">
      <c r="A41" s="3">
        <v>-4</v>
      </c>
      <c r="B41" s="3">
        <f>B40</f>
        <v>10</v>
      </c>
      <c r="C41" s="3">
        <f t="shared" si="0"/>
        <v>-16</v>
      </c>
      <c r="D41" s="3">
        <f t="shared" si="1"/>
        <v>24</v>
      </c>
      <c r="E41" s="3">
        <f t="shared" si="2"/>
        <v>6.324555320336759</v>
      </c>
      <c r="F41" s="3">
        <f t="shared" ref="F41:F100" si="7">C41/E41</f>
        <v>-2.5298221281347035</v>
      </c>
      <c r="G41" s="3">
        <f t="shared" ref="G41:G100" si="8">D41/E41</f>
        <v>3.7947331922020551</v>
      </c>
      <c r="H41">
        <f t="shared" ref="H41:H100" si="9">ERFC(F41)</f>
        <v>1.9996533806488654</v>
      </c>
      <c r="I41">
        <f t="shared" ref="I41:I100" si="10">ERFC(G41)</f>
        <v>8.0251112669275954E-8</v>
      </c>
      <c r="J41">
        <f t="shared" si="3"/>
        <v>1.8315638888734179E-2</v>
      </c>
      <c r="K41">
        <f t="shared" si="4"/>
        <v>1.8315638888734179E-2</v>
      </c>
      <c r="L41">
        <f t="shared" si="5"/>
        <v>54.598150033144236</v>
      </c>
      <c r="M41" s="3">
        <f t="shared" si="6"/>
        <v>1.3414574537078817E-3</v>
      </c>
    </row>
    <row r="42" spans="1:13" x14ac:dyDescent="0.2">
      <c r="A42" s="3">
        <v>-3</v>
      </c>
      <c r="B42" s="3">
        <f t="shared" ref="B42:B100" si="11">B41</f>
        <v>10</v>
      </c>
      <c r="C42" s="3">
        <f t="shared" si="0"/>
        <v>-17</v>
      </c>
      <c r="D42" s="3">
        <f t="shared" si="1"/>
        <v>23</v>
      </c>
      <c r="E42" s="3">
        <f t="shared" si="2"/>
        <v>6.324555320336759</v>
      </c>
      <c r="F42" s="3">
        <f t="shared" si="7"/>
        <v>-2.6879360111431221</v>
      </c>
      <c r="G42" s="3">
        <f t="shared" si="8"/>
        <v>3.6366193091936361</v>
      </c>
      <c r="H42">
        <f t="shared" si="9"/>
        <v>1.9998560701435029</v>
      </c>
      <c r="I42">
        <f t="shared" si="10"/>
        <v>2.7044847886335556E-7</v>
      </c>
      <c r="J42">
        <f t="shared" si="3"/>
        <v>4.9787068367863944E-2</v>
      </c>
      <c r="K42">
        <f t="shared" si="4"/>
        <v>4.9787068367863944E-2</v>
      </c>
      <c r="L42">
        <f t="shared" si="5"/>
        <v>20.085536923187668</v>
      </c>
      <c r="M42" s="3">
        <f t="shared" si="6"/>
        <v>9.9137542768175484E-3</v>
      </c>
    </row>
    <row r="43" spans="1:13" x14ac:dyDescent="0.2">
      <c r="A43" s="3">
        <v>-2</v>
      </c>
      <c r="B43" s="3">
        <f t="shared" si="11"/>
        <v>10</v>
      </c>
      <c r="C43" s="3">
        <f t="shared" si="0"/>
        <v>-18</v>
      </c>
      <c r="D43" s="3">
        <f t="shared" si="1"/>
        <v>22</v>
      </c>
      <c r="E43" s="3">
        <f t="shared" si="2"/>
        <v>6.324555320336759</v>
      </c>
      <c r="F43" s="3">
        <f t="shared" si="7"/>
        <v>-2.8460498941515411</v>
      </c>
      <c r="G43" s="3">
        <f t="shared" si="8"/>
        <v>3.4785054261852171</v>
      </c>
      <c r="H43">
        <f t="shared" si="9"/>
        <v>1.9999430058837666</v>
      </c>
      <c r="I43">
        <f t="shared" si="10"/>
        <v>8.6832280854547149E-7</v>
      </c>
      <c r="J43">
        <f t="shared" si="3"/>
        <v>0.1353352832366127</v>
      </c>
      <c r="K43">
        <f t="shared" si="4"/>
        <v>0.1353352832366127</v>
      </c>
      <c r="L43">
        <f t="shared" si="5"/>
        <v>7.3890560989306504</v>
      </c>
      <c r="M43" s="3">
        <f t="shared" si="6"/>
        <v>7.3258731142016212E-2</v>
      </c>
    </row>
    <row r="44" spans="1:13" x14ac:dyDescent="0.2">
      <c r="A44" s="3">
        <v>-1</v>
      </c>
      <c r="B44" s="3">
        <f t="shared" si="11"/>
        <v>10</v>
      </c>
      <c r="C44" s="3">
        <f t="shared" si="0"/>
        <v>-19</v>
      </c>
      <c r="D44" s="3">
        <f t="shared" si="1"/>
        <v>21</v>
      </c>
      <c r="E44" s="3">
        <f t="shared" si="2"/>
        <v>6.324555320336759</v>
      </c>
      <c r="F44" s="3">
        <f t="shared" si="7"/>
        <v>-3.0041637771599601</v>
      </c>
      <c r="G44" s="3">
        <f t="shared" si="8"/>
        <v>3.3203915431767981</v>
      </c>
      <c r="H44">
        <f t="shared" si="9"/>
        <v>1.9999784821356219</v>
      </c>
      <c r="I44">
        <f t="shared" si="10"/>
        <v>2.6563968243191819E-6</v>
      </c>
      <c r="J44">
        <f t="shared" si="3"/>
        <v>0.36787944117144233</v>
      </c>
      <c r="K44">
        <f t="shared" si="4"/>
        <v>0.36787944117144233</v>
      </c>
      <c r="L44">
        <f t="shared" si="5"/>
        <v>2.7182818284590451</v>
      </c>
      <c r="M44" s="3">
        <f t="shared" si="6"/>
        <v>0.54132999590026154</v>
      </c>
    </row>
    <row r="45" spans="1:13" x14ac:dyDescent="0.2">
      <c r="A45" s="3">
        <v>0</v>
      </c>
      <c r="B45" s="3">
        <f t="shared" si="11"/>
        <v>10</v>
      </c>
      <c r="C45" s="3">
        <f t="shared" si="0"/>
        <v>-20</v>
      </c>
      <c r="D45" s="3">
        <f t="shared" si="1"/>
        <v>20</v>
      </c>
      <c r="E45" s="3">
        <f t="shared" si="2"/>
        <v>6.324555320336759</v>
      </c>
      <c r="F45" s="3">
        <f t="shared" si="7"/>
        <v>-3.1622776601683791</v>
      </c>
      <c r="G45" s="3">
        <f t="shared" si="8"/>
        <v>3.1622776601683791</v>
      </c>
      <c r="H45">
        <f t="shared" si="9"/>
        <v>1.999992255783569</v>
      </c>
      <c r="I45">
        <f t="shared" si="10"/>
        <v>7.7442164310440977E-6</v>
      </c>
      <c r="J45">
        <f t="shared" si="3"/>
        <v>1</v>
      </c>
      <c r="K45">
        <f t="shared" si="4"/>
        <v>1</v>
      </c>
      <c r="L45">
        <f t="shared" si="5"/>
        <v>1</v>
      </c>
      <c r="M45" s="3">
        <f t="shared" si="6"/>
        <v>3.9999690231342759</v>
      </c>
    </row>
    <row r="46" spans="1:13" x14ac:dyDescent="0.2">
      <c r="A46" s="3">
        <v>1</v>
      </c>
      <c r="B46" s="3">
        <f t="shared" si="11"/>
        <v>10</v>
      </c>
      <c r="C46" s="3">
        <f t="shared" si="0"/>
        <v>-19</v>
      </c>
      <c r="D46" s="3">
        <f t="shared" si="1"/>
        <v>21</v>
      </c>
      <c r="E46" s="3">
        <f t="shared" si="2"/>
        <v>6.324555320336759</v>
      </c>
      <c r="F46" s="3">
        <f t="shared" si="7"/>
        <v>-3.0041637771599601</v>
      </c>
      <c r="G46" s="3">
        <f t="shared" si="8"/>
        <v>3.3203915431767981</v>
      </c>
      <c r="H46">
        <f t="shared" si="9"/>
        <v>1.9999784821356219</v>
      </c>
      <c r="I46">
        <f t="shared" si="10"/>
        <v>2.6563968243191819E-6</v>
      </c>
      <c r="J46">
        <f t="shared" si="3"/>
        <v>2.7182818284590451</v>
      </c>
      <c r="K46">
        <f t="shared" si="4"/>
        <v>0.36787944117144233</v>
      </c>
      <c r="L46">
        <f t="shared" si="5"/>
        <v>2.7182818284590451</v>
      </c>
      <c r="M46" s="3">
        <f t="shared" si="6"/>
        <v>3.9999177077409316</v>
      </c>
    </row>
    <row r="47" spans="1:13" x14ac:dyDescent="0.2">
      <c r="A47" s="3">
        <v>2</v>
      </c>
      <c r="B47" s="3">
        <f t="shared" si="11"/>
        <v>10</v>
      </c>
      <c r="C47" s="3">
        <f t="shared" si="0"/>
        <v>-18</v>
      </c>
      <c r="D47" s="3">
        <f t="shared" si="1"/>
        <v>22</v>
      </c>
      <c r="E47" s="3">
        <f t="shared" si="2"/>
        <v>6.324555320336759</v>
      </c>
      <c r="F47" s="3">
        <f t="shared" si="7"/>
        <v>-2.8460498941515411</v>
      </c>
      <c r="G47" s="3">
        <f t="shared" si="8"/>
        <v>3.4785054261852171</v>
      </c>
      <c r="H47">
        <f t="shared" si="9"/>
        <v>1.9999430058837666</v>
      </c>
      <c r="I47">
        <f t="shared" si="10"/>
        <v>8.6832280854547149E-7</v>
      </c>
      <c r="J47">
        <f t="shared" si="3"/>
        <v>7.3890560989306504</v>
      </c>
      <c r="K47">
        <f t="shared" si="4"/>
        <v>0.1353352832366127</v>
      </c>
      <c r="L47">
        <f t="shared" si="5"/>
        <v>7.3890560989306504</v>
      </c>
      <c r="M47" s="3">
        <f t="shared" si="6"/>
        <v>3.9997911941295774</v>
      </c>
    </row>
    <row r="48" spans="1:13" x14ac:dyDescent="0.2">
      <c r="A48" s="3">
        <v>3</v>
      </c>
      <c r="B48" s="3">
        <f t="shared" si="11"/>
        <v>10</v>
      </c>
      <c r="C48" s="3">
        <f t="shared" si="0"/>
        <v>-17</v>
      </c>
      <c r="D48" s="3">
        <f t="shared" si="1"/>
        <v>23</v>
      </c>
      <c r="E48" s="3">
        <f t="shared" si="2"/>
        <v>6.324555320336759</v>
      </c>
      <c r="F48" s="3">
        <f t="shared" si="7"/>
        <v>-2.6879360111431221</v>
      </c>
      <c r="G48" s="3">
        <f t="shared" si="8"/>
        <v>3.6366193091936361</v>
      </c>
      <c r="H48">
        <f t="shared" si="9"/>
        <v>1.9998560701435029</v>
      </c>
      <c r="I48">
        <f t="shared" si="10"/>
        <v>2.7044847886335556E-7</v>
      </c>
      <c r="J48">
        <f t="shared" si="3"/>
        <v>20.085536923187668</v>
      </c>
      <c r="K48">
        <f t="shared" si="4"/>
        <v>4.9787068367863944E-2</v>
      </c>
      <c r="L48">
        <f t="shared" si="5"/>
        <v>20.085536923187668</v>
      </c>
      <c r="M48" s="3">
        <f t="shared" si="6"/>
        <v>3.9994939268799463</v>
      </c>
    </row>
    <row r="49" spans="1:13" x14ac:dyDescent="0.2">
      <c r="A49" s="3">
        <v>4</v>
      </c>
      <c r="B49" s="3">
        <f t="shared" si="11"/>
        <v>10</v>
      </c>
      <c r="C49" s="3">
        <f t="shared" si="0"/>
        <v>-16</v>
      </c>
      <c r="D49" s="3">
        <f t="shared" si="1"/>
        <v>24</v>
      </c>
      <c r="E49" s="3">
        <f t="shared" si="2"/>
        <v>6.324555320336759</v>
      </c>
      <c r="F49" s="3">
        <f t="shared" si="7"/>
        <v>-2.5298221281347035</v>
      </c>
      <c r="G49" s="3">
        <f t="shared" si="8"/>
        <v>3.7947331922020551</v>
      </c>
      <c r="H49">
        <f t="shared" si="9"/>
        <v>1.9996533806488654</v>
      </c>
      <c r="I49">
        <f t="shared" si="10"/>
        <v>8.0251112669275954E-8</v>
      </c>
      <c r="J49">
        <f t="shared" si="3"/>
        <v>54.598150033144236</v>
      </c>
      <c r="K49">
        <f t="shared" si="4"/>
        <v>1.8315638888734179E-2</v>
      </c>
      <c r="L49">
        <f t="shared" si="5"/>
        <v>54.598150033144236</v>
      </c>
      <c r="M49" s="3">
        <f t="shared" si="6"/>
        <v>3.9988283109071698</v>
      </c>
    </row>
    <row r="50" spans="1:13" x14ac:dyDescent="0.2">
      <c r="A50" s="3">
        <v>5</v>
      </c>
      <c r="B50" s="3">
        <f t="shared" si="11"/>
        <v>10</v>
      </c>
      <c r="C50" s="3">
        <f t="shared" si="0"/>
        <v>-15</v>
      </c>
      <c r="D50" s="3">
        <f t="shared" si="1"/>
        <v>25</v>
      </c>
      <c r="E50" s="3">
        <f t="shared" si="2"/>
        <v>6.324555320336759</v>
      </c>
      <c r="F50" s="3">
        <f t="shared" si="7"/>
        <v>-2.3717082451262845</v>
      </c>
      <c r="G50" s="3">
        <f t="shared" si="8"/>
        <v>3.9528470752104741</v>
      </c>
      <c r="H50">
        <f t="shared" si="9"/>
        <v>1.9992037698424092</v>
      </c>
      <c r="I50">
        <f t="shared" si="10"/>
        <v>2.2684748592600856E-8</v>
      </c>
      <c r="J50">
        <f t="shared" si="3"/>
        <v>148.4131591025766</v>
      </c>
      <c r="K50">
        <f t="shared" si="4"/>
        <v>6.737946999085467E-3</v>
      </c>
      <c r="L50">
        <f t="shared" si="5"/>
        <v>148.4131591025766</v>
      </c>
      <c r="M50" s="3">
        <f t="shared" si="6"/>
        <v>3.9974082100069408</v>
      </c>
    </row>
    <row r="51" spans="1:13" x14ac:dyDescent="0.2">
      <c r="A51" s="3">
        <v>6</v>
      </c>
      <c r="B51" s="3">
        <f t="shared" si="11"/>
        <v>10</v>
      </c>
      <c r="C51" s="3">
        <f t="shared" si="0"/>
        <v>-14</v>
      </c>
      <c r="D51" s="3">
        <f t="shared" si="1"/>
        <v>26</v>
      </c>
      <c r="E51" s="3">
        <f t="shared" si="2"/>
        <v>6.324555320336759</v>
      </c>
      <c r="F51" s="3">
        <f t="shared" si="7"/>
        <v>-2.2135943621178655</v>
      </c>
      <c r="G51" s="3">
        <f t="shared" si="8"/>
        <v>4.1109609582188931</v>
      </c>
      <c r="H51">
        <f t="shared" si="9"/>
        <v>1.998254881300471</v>
      </c>
      <c r="I51">
        <f t="shared" si="10"/>
        <v>6.1078863597094942E-9</v>
      </c>
      <c r="J51">
        <f t="shared" si="3"/>
        <v>403.42879349273511</v>
      </c>
      <c r="K51">
        <f t="shared" si="4"/>
        <v>2.4787521766663585E-3</v>
      </c>
      <c r="L51">
        <f t="shared" si="5"/>
        <v>403.42879349273511</v>
      </c>
      <c r="M51" s="3">
        <f t="shared" si="6"/>
        <v>3.9945215870599711</v>
      </c>
    </row>
    <row r="52" spans="1:13" x14ac:dyDescent="0.2">
      <c r="A52" s="3">
        <v>7</v>
      </c>
      <c r="B52" s="3">
        <f t="shared" si="11"/>
        <v>10</v>
      </c>
      <c r="C52" s="3">
        <f t="shared" si="0"/>
        <v>-13</v>
      </c>
      <c r="D52" s="3">
        <f t="shared" si="1"/>
        <v>27</v>
      </c>
      <c r="E52" s="3">
        <f t="shared" si="2"/>
        <v>6.324555320336759</v>
      </c>
      <c r="F52" s="3">
        <f t="shared" si="7"/>
        <v>-2.0554804791094465</v>
      </c>
      <c r="G52" s="3">
        <f t="shared" si="8"/>
        <v>4.2690748412273116</v>
      </c>
      <c r="H52">
        <f t="shared" si="9"/>
        <v>1.9963495655955581</v>
      </c>
      <c r="I52">
        <f t="shared" si="10"/>
        <v>1.5663312921022304E-9</v>
      </c>
      <c r="J52">
        <f t="shared" si="3"/>
        <v>1096.6331584284585</v>
      </c>
      <c r="K52">
        <f t="shared" si="4"/>
        <v>9.1188196555451624E-4</v>
      </c>
      <c r="L52">
        <f t="shared" si="5"/>
        <v>1096.6331584284585</v>
      </c>
      <c r="M52" s="3">
        <f t="shared" si="6"/>
        <v>3.988931777746509</v>
      </c>
    </row>
    <row r="53" spans="1:13" x14ac:dyDescent="0.2">
      <c r="A53" s="3">
        <v>8</v>
      </c>
      <c r="B53" s="3">
        <f t="shared" si="11"/>
        <v>10</v>
      </c>
      <c r="C53" s="3">
        <f t="shared" si="0"/>
        <v>-12</v>
      </c>
      <c r="D53" s="3">
        <f t="shared" si="1"/>
        <v>28</v>
      </c>
      <c r="E53" s="3">
        <f t="shared" si="2"/>
        <v>6.324555320336759</v>
      </c>
      <c r="F53" s="3">
        <f t="shared" si="7"/>
        <v>-1.8973665961010275</v>
      </c>
      <c r="G53" s="3">
        <f t="shared" si="8"/>
        <v>4.4271887242357311</v>
      </c>
      <c r="H53">
        <f t="shared" si="9"/>
        <v>1.9927096419084644</v>
      </c>
      <c r="I53">
        <f t="shared" si="10"/>
        <v>3.8254023259386252E-10</v>
      </c>
      <c r="J53">
        <f t="shared" si="3"/>
        <v>2980.9579870417283</v>
      </c>
      <c r="K53">
        <f t="shared" si="4"/>
        <v>3.3546262790251185E-4</v>
      </c>
      <c r="L53">
        <f t="shared" si="5"/>
        <v>2980.9579870417283</v>
      </c>
      <c r="M53" s="3">
        <f t="shared" si="6"/>
        <v>3.9786206942461897</v>
      </c>
    </row>
    <row r="54" spans="1:13" x14ac:dyDescent="0.2">
      <c r="A54" s="3">
        <v>9</v>
      </c>
      <c r="B54" s="3">
        <f t="shared" si="11"/>
        <v>10</v>
      </c>
      <c r="C54" s="3">
        <f t="shared" si="0"/>
        <v>-11</v>
      </c>
      <c r="D54" s="3">
        <f t="shared" si="1"/>
        <v>29</v>
      </c>
      <c r="E54" s="3">
        <f t="shared" si="2"/>
        <v>6.324555320336759</v>
      </c>
      <c r="F54" s="3">
        <f t="shared" si="7"/>
        <v>-1.7392527130926085</v>
      </c>
      <c r="G54" s="3">
        <f t="shared" si="8"/>
        <v>4.5853026072441496</v>
      </c>
      <c r="H54">
        <f t="shared" si="9"/>
        <v>1.9860937031046539</v>
      </c>
      <c r="I54">
        <f t="shared" si="10"/>
        <v>8.8969190918391003E-11</v>
      </c>
      <c r="J54">
        <f t="shared" si="3"/>
        <v>8103.0839275753842</v>
      </c>
      <c r="K54">
        <f t="shared" si="4"/>
        <v>1.2340980408667956E-4</v>
      </c>
      <c r="L54">
        <f t="shared" si="5"/>
        <v>8103.0839275753842</v>
      </c>
      <c r="M54" s="3">
        <f t="shared" si="6"/>
        <v>3.9605039775495583</v>
      </c>
    </row>
    <row r="55" spans="1:13" x14ac:dyDescent="0.2">
      <c r="A55" s="3">
        <v>10</v>
      </c>
      <c r="B55" s="3">
        <f t="shared" si="11"/>
        <v>10</v>
      </c>
      <c r="C55" s="3">
        <f t="shared" si="0"/>
        <v>-10</v>
      </c>
      <c r="D55" s="3">
        <f t="shared" si="1"/>
        <v>30</v>
      </c>
      <c r="E55" s="3">
        <f t="shared" si="2"/>
        <v>6.324555320336759</v>
      </c>
      <c r="F55" s="3">
        <f t="shared" si="7"/>
        <v>-1.5811388300841895</v>
      </c>
      <c r="G55" s="3">
        <f t="shared" si="8"/>
        <v>4.7434164902525691</v>
      </c>
      <c r="H55">
        <f t="shared" si="9"/>
        <v>1.9746526813225318</v>
      </c>
      <c r="I55">
        <f t="shared" si="10"/>
        <v>1.9703444711799161E-11</v>
      </c>
      <c r="J55">
        <f t="shared" si="3"/>
        <v>22026.465794806718</v>
      </c>
      <c r="K55">
        <f t="shared" si="4"/>
        <v>4.5399929762484854E-5</v>
      </c>
      <c r="L55">
        <f t="shared" si="5"/>
        <v>22026.465794806718</v>
      </c>
      <c r="M55" s="3">
        <f t="shared" si="6"/>
        <v>3.930186511437372</v>
      </c>
    </row>
    <row r="56" spans="1:13" x14ac:dyDescent="0.2">
      <c r="A56" s="3">
        <v>11</v>
      </c>
      <c r="B56" s="3">
        <f t="shared" si="11"/>
        <v>10</v>
      </c>
      <c r="C56" s="3">
        <f t="shared" si="0"/>
        <v>-9</v>
      </c>
      <c r="D56" s="3">
        <f t="shared" si="1"/>
        <v>31</v>
      </c>
      <c r="E56" s="3">
        <f t="shared" si="2"/>
        <v>6.324555320336759</v>
      </c>
      <c r="F56" s="3">
        <f t="shared" si="7"/>
        <v>-1.4230249470757705</v>
      </c>
      <c r="G56" s="3">
        <f t="shared" si="8"/>
        <v>4.9015303732609876</v>
      </c>
      <c r="H56">
        <f t="shared" si="9"/>
        <v>1.9558286550915573</v>
      </c>
      <c r="I56">
        <f t="shared" si="10"/>
        <v>4.1548762266523793E-12</v>
      </c>
      <c r="J56">
        <f t="shared" si="3"/>
        <v>59874.141715197817</v>
      </c>
      <c r="K56">
        <f t="shared" si="4"/>
        <v>1.6701700790245659E-5</v>
      </c>
      <c r="L56">
        <f t="shared" si="5"/>
        <v>59874.141715197817</v>
      </c>
      <c r="M56" s="3">
        <f t="shared" si="6"/>
        <v>3.8818675718650892</v>
      </c>
    </row>
    <row r="57" spans="1:13" x14ac:dyDescent="0.2">
      <c r="A57" s="3">
        <v>12</v>
      </c>
      <c r="B57" s="3">
        <f t="shared" si="11"/>
        <v>10</v>
      </c>
      <c r="C57" s="3">
        <f t="shared" si="0"/>
        <v>-8</v>
      </c>
      <c r="D57" s="3">
        <f t="shared" si="1"/>
        <v>32</v>
      </c>
      <c r="E57" s="3">
        <f t="shared" si="2"/>
        <v>6.324555320336759</v>
      </c>
      <c r="F57" s="3">
        <f t="shared" si="7"/>
        <v>-1.2649110640673518</v>
      </c>
      <c r="G57" s="3">
        <f t="shared" si="8"/>
        <v>5.0596442562694071</v>
      </c>
      <c r="H57">
        <f t="shared" si="9"/>
        <v>1.9263617298796973</v>
      </c>
      <c r="I57">
        <f t="shared" si="10"/>
        <v>8.3418628478912555E-13</v>
      </c>
      <c r="J57">
        <f t="shared" si="3"/>
        <v>162754.79141900392</v>
      </c>
      <c r="K57">
        <f t="shared" si="4"/>
        <v>6.1442123533282098E-6</v>
      </c>
      <c r="L57">
        <f t="shared" si="5"/>
        <v>162754.79141900392</v>
      </c>
      <c r="M57" s="3">
        <f t="shared" si="6"/>
        <v>3.808529735005755</v>
      </c>
    </row>
    <row r="58" spans="1:13" x14ac:dyDescent="0.2">
      <c r="A58" s="3">
        <v>13</v>
      </c>
      <c r="B58" s="3">
        <f t="shared" si="11"/>
        <v>10</v>
      </c>
      <c r="C58" s="3">
        <f t="shared" si="0"/>
        <v>-7</v>
      </c>
      <c r="D58" s="3">
        <f t="shared" si="1"/>
        <v>33</v>
      </c>
      <c r="E58" s="3">
        <f t="shared" si="2"/>
        <v>6.324555320336759</v>
      </c>
      <c r="F58" s="3">
        <f t="shared" si="7"/>
        <v>-1.1067971810589328</v>
      </c>
      <c r="G58" s="3">
        <f t="shared" si="8"/>
        <v>5.2177581392778256</v>
      </c>
      <c r="H58">
        <f t="shared" si="9"/>
        <v>1.8824751319033608</v>
      </c>
      <c r="I58">
        <f t="shared" si="10"/>
        <v>1.5945369908213889E-13</v>
      </c>
      <c r="J58">
        <f t="shared" si="3"/>
        <v>442413.39200892049</v>
      </c>
      <c r="K58">
        <f t="shared" si="4"/>
        <v>2.2603294069810542E-6</v>
      </c>
      <c r="L58">
        <f t="shared" si="5"/>
        <v>442413.39200892049</v>
      </c>
      <c r="M58" s="3">
        <f t="shared" si="6"/>
        <v>3.7025306433200602</v>
      </c>
    </row>
    <row r="59" spans="1:13" x14ac:dyDescent="0.2">
      <c r="A59" s="3">
        <v>14</v>
      </c>
      <c r="B59" s="3">
        <f t="shared" si="11"/>
        <v>10</v>
      </c>
      <c r="C59" s="3">
        <f t="shared" si="0"/>
        <v>-6</v>
      </c>
      <c r="D59" s="3">
        <f t="shared" si="1"/>
        <v>34</v>
      </c>
      <c r="E59" s="3">
        <f t="shared" si="2"/>
        <v>6.324555320336759</v>
      </c>
      <c r="F59" s="3">
        <f t="shared" si="7"/>
        <v>-0.94868329805051377</v>
      </c>
      <c r="G59" s="3">
        <f t="shared" si="8"/>
        <v>5.3758720222862442</v>
      </c>
      <c r="H59">
        <f t="shared" si="9"/>
        <v>1.8202875051210001</v>
      </c>
      <c r="I59">
        <f t="shared" si="10"/>
        <v>2.9016972125628953E-14</v>
      </c>
      <c r="J59">
        <f t="shared" si="3"/>
        <v>1202604.2841647768</v>
      </c>
      <c r="K59">
        <f t="shared" si="4"/>
        <v>8.3152871910356788E-7</v>
      </c>
      <c r="L59">
        <f t="shared" si="5"/>
        <v>1202604.2841647768</v>
      </c>
      <c r="M59" s="3">
        <f t="shared" si="6"/>
        <v>3.5566430083999205</v>
      </c>
    </row>
    <row r="60" spans="1:13" x14ac:dyDescent="0.2">
      <c r="A60" s="3">
        <v>15</v>
      </c>
      <c r="B60" s="3">
        <f t="shared" si="11"/>
        <v>10</v>
      </c>
      <c r="C60" s="3">
        <f t="shared" si="0"/>
        <v>-5</v>
      </c>
      <c r="D60" s="3">
        <f t="shared" si="1"/>
        <v>35</v>
      </c>
      <c r="E60" s="3">
        <f t="shared" si="2"/>
        <v>6.324555320336759</v>
      </c>
      <c r="F60" s="3">
        <f t="shared" si="7"/>
        <v>-0.79056941504209477</v>
      </c>
      <c r="G60" s="3">
        <f t="shared" si="8"/>
        <v>5.5339859052946636</v>
      </c>
      <c r="H60">
        <f t="shared" si="9"/>
        <v>1.7364475227170273</v>
      </c>
      <c r="I60">
        <f t="shared" si="10"/>
        <v>5.0268561537410668E-15</v>
      </c>
      <c r="J60">
        <f t="shared" si="3"/>
        <v>3269017.3724721107</v>
      </c>
      <c r="K60">
        <f t="shared" si="4"/>
        <v>3.0590232050182579E-7</v>
      </c>
      <c r="L60">
        <f t="shared" si="5"/>
        <v>3269017.3724721107</v>
      </c>
      <c r="M60" s="3">
        <f t="shared" si="6"/>
        <v>3.3654563044101868</v>
      </c>
    </row>
    <row r="61" spans="1:13" x14ac:dyDescent="0.2">
      <c r="A61" s="3">
        <v>16</v>
      </c>
      <c r="B61" s="3">
        <f t="shared" si="11"/>
        <v>10</v>
      </c>
      <c r="C61" s="3">
        <f t="shared" si="0"/>
        <v>-4</v>
      </c>
      <c r="D61" s="3">
        <f t="shared" si="1"/>
        <v>36</v>
      </c>
      <c r="E61" s="3">
        <f t="shared" si="2"/>
        <v>6.324555320336759</v>
      </c>
      <c r="F61" s="3">
        <f t="shared" si="7"/>
        <v>-0.63245553203367588</v>
      </c>
      <c r="G61" s="3">
        <f t="shared" si="8"/>
        <v>5.6920997883030822</v>
      </c>
      <c r="H61">
        <f t="shared" si="9"/>
        <v>1.6289066304773023</v>
      </c>
      <c r="I61">
        <f t="shared" si="10"/>
        <v>8.289914674372342E-16</v>
      </c>
      <c r="J61">
        <f t="shared" si="3"/>
        <v>8886110.5205078721</v>
      </c>
      <c r="K61">
        <f t="shared" si="4"/>
        <v>1.1253517471925912E-7</v>
      </c>
      <c r="L61">
        <f t="shared" si="5"/>
        <v>8886110.5205078721</v>
      </c>
      <c r="M61" s="3">
        <f t="shared" si="6"/>
        <v>3.1268940204845479</v>
      </c>
    </row>
    <row r="62" spans="1:13" x14ac:dyDescent="0.2">
      <c r="A62" s="3">
        <v>17</v>
      </c>
      <c r="B62" s="3">
        <f t="shared" si="11"/>
        <v>10</v>
      </c>
      <c r="C62" s="3">
        <f t="shared" si="0"/>
        <v>-3</v>
      </c>
      <c r="D62" s="3">
        <f t="shared" si="1"/>
        <v>37</v>
      </c>
      <c r="E62" s="3">
        <f t="shared" si="2"/>
        <v>6.324555320336759</v>
      </c>
      <c r="F62" s="3">
        <f t="shared" si="7"/>
        <v>-0.47434164902525688</v>
      </c>
      <c r="G62" s="3">
        <f t="shared" si="8"/>
        <v>5.8502136713115016</v>
      </c>
      <c r="H62">
        <f t="shared" si="9"/>
        <v>1.497665045639498</v>
      </c>
      <c r="I62">
        <f t="shared" si="10"/>
        <v>1.301357335556799E-16</v>
      </c>
      <c r="J62">
        <f t="shared" si="3"/>
        <v>24154952.753575299</v>
      </c>
      <c r="K62">
        <f t="shared" si="4"/>
        <v>4.1399377187851668E-8</v>
      </c>
      <c r="L62">
        <f t="shared" si="5"/>
        <v>24154952.753575299</v>
      </c>
      <c r="M62" s="3">
        <f t="shared" si="6"/>
        <v>2.8434716475480251</v>
      </c>
    </row>
    <row r="63" spans="1:13" x14ac:dyDescent="0.2">
      <c r="A63" s="3">
        <v>18</v>
      </c>
      <c r="B63" s="3">
        <f t="shared" si="11"/>
        <v>10</v>
      </c>
      <c r="C63" s="3">
        <f t="shared" si="0"/>
        <v>-2</v>
      </c>
      <c r="D63" s="3">
        <f t="shared" si="1"/>
        <v>38</v>
      </c>
      <c r="E63" s="3">
        <f t="shared" si="2"/>
        <v>6.324555320336759</v>
      </c>
      <c r="F63" s="3">
        <f t="shared" si="7"/>
        <v>-0.31622776601683794</v>
      </c>
      <c r="G63" s="3">
        <f t="shared" si="8"/>
        <v>6.0083275543199202</v>
      </c>
      <c r="H63">
        <f t="shared" si="9"/>
        <v>1.3452791539814228</v>
      </c>
      <c r="I63">
        <f t="shared" si="10"/>
        <v>1.9445575919781752E-17</v>
      </c>
      <c r="J63">
        <f t="shared" si="3"/>
        <v>65659969.13733051</v>
      </c>
      <c r="K63">
        <f t="shared" si="4"/>
        <v>1.5229979744712629E-8</v>
      </c>
      <c r="L63">
        <f t="shared" si="5"/>
        <v>65659969.13733051</v>
      </c>
      <c r="M63" s="3">
        <f t="shared" si="6"/>
        <v>2.522889547248472</v>
      </c>
    </row>
    <row r="64" spans="1:13" x14ac:dyDescent="0.2">
      <c r="A64" s="3">
        <v>19</v>
      </c>
      <c r="B64" s="3">
        <f t="shared" si="11"/>
        <v>10</v>
      </c>
      <c r="C64" s="3">
        <f t="shared" si="0"/>
        <v>-1</v>
      </c>
      <c r="D64" s="3">
        <f t="shared" si="1"/>
        <v>39</v>
      </c>
      <c r="E64" s="3">
        <f t="shared" si="2"/>
        <v>6.324555320336759</v>
      </c>
      <c r="F64" s="3">
        <f t="shared" si="7"/>
        <v>-0.15811388300841897</v>
      </c>
      <c r="G64" s="3">
        <f t="shared" si="8"/>
        <v>6.1664414373283396</v>
      </c>
      <c r="H64">
        <f t="shared" si="9"/>
        <v>1.1769367262418786</v>
      </c>
      <c r="I64">
        <f t="shared" si="10"/>
        <v>2.7657231621518048E-18</v>
      </c>
      <c r="J64">
        <f t="shared" si="3"/>
        <v>178482300.96318725</v>
      </c>
      <c r="K64">
        <f t="shared" si="4"/>
        <v>5.6027964375372678E-9</v>
      </c>
      <c r="L64">
        <f t="shared" si="5"/>
        <v>178482300.96318725</v>
      </c>
      <c r="M64" s="3">
        <f t="shared" si="6"/>
        <v>2.1776640758586039</v>
      </c>
    </row>
    <row r="65" spans="1:13" x14ac:dyDescent="0.2">
      <c r="A65" s="3">
        <v>20</v>
      </c>
      <c r="B65" s="3">
        <f t="shared" si="11"/>
        <v>10</v>
      </c>
      <c r="C65" s="3">
        <f t="shared" si="0"/>
        <v>0</v>
      </c>
      <c r="D65" s="3">
        <f t="shared" si="1"/>
        <v>40</v>
      </c>
      <c r="E65" s="3">
        <f t="shared" si="2"/>
        <v>6.324555320336759</v>
      </c>
      <c r="F65" s="3">
        <f t="shared" si="7"/>
        <v>0</v>
      </c>
      <c r="G65" s="3">
        <f t="shared" si="8"/>
        <v>6.3245553203367582</v>
      </c>
      <c r="H65">
        <f t="shared" si="9"/>
        <v>1</v>
      </c>
      <c r="I65">
        <f t="shared" si="10"/>
        <v>3.7440973842029268E-19</v>
      </c>
      <c r="J65">
        <f t="shared" si="3"/>
        <v>485165195.40979028</v>
      </c>
      <c r="K65">
        <f t="shared" si="4"/>
        <v>2.0611536224385579E-9</v>
      </c>
      <c r="L65">
        <f t="shared" si="5"/>
        <v>485165195.40979028</v>
      </c>
      <c r="M65" s="3">
        <f t="shared" si="6"/>
        <v>1.8237389276311209</v>
      </c>
    </row>
    <row r="66" spans="1:13" x14ac:dyDescent="0.2">
      <c r="A66" s="3">
        <v>21</v>
      </c>
      <c r="B66" s="3">
        <f t="shared" si="11"/>
        <v>10</v>
      </c>
      <c r="C66" s="3">
        <f t="shared" si="0"/>
        <v>1</v>
      </c>
      <c r="D66" s="3">
        <f t="shared" si="1"/>
        <v>41</v>
      </c>
      <c r="E66" s="3">
        <f t="shared" si="2"/>
        <v>6.324555320336759</v>
      </c>
      <c r="F66" s="3">
        <f t="shared" si="7"/>
        <v>0.15811388300841897</v>
      </c>
      <c r="G66" s="3">
        <f t="shared" si="8"/>
        <v>6.4826692033451776</v>
      </c>
      <c r="H66">
        <f t="shared" si="9"/>
        <v>0.82306327375812149</v>
      </c>
      <c r="I66">
        <f t="shared" si="10"/>
        <v>4.824184038035791E-20</v>
      </c>
      <c r="J66">
        <f t="shared" si="3"/>
        <v>1318815734.4832146</v>
      </c>
      <c r="K66">
        <f t="shared" si="4"/>
        <v>7.5825604279119066E-10</v>
      </c>
      <c r="L66">
        <f t="shared" si="5"/>
        <v>1318815734.4832146</v>
      </c>
      <c r="M66" s="3">
        <f t="shared" si="6"/>
        <v>1.478314899303466</v>
      </c>
    </row>
    <row r="67" spans="1:13" x14ac:dyDescent="0.2">
      <c r="A67" s="3">
        <v>22</v>
      </c>
      <c r="B67" s="3">
        <f t="shared" si="11"/>
        <v>10</v>
      </c>
      <c r="C67" s="3">
        <f t="shared" si="0"/>
        <v>2</v>
      </c>
      <c r="D67" s="3">
        <f t="shared" si="1"/>
        <v>42</v>
      </c>
      <c r="E67" s="3">
        <f t="shared" si="2"/>
        <v>6.324555320336759</v>
      </c>
      <c r="F67" s="3">
        <f t="shared" si="7"/>
        <v>0.31622776601683794</v>
      </c>
      <c r="G67" s="3">
        <f t="shared" si="8"/>
        <v>6.6407830863535962</v>
      </c>
      <c r="H67">
        <f t="shared" si="9"/>
        <v>0.65472084601857705</v>
      </c>
      <c r="I67">
        <f t="shared" si="10"/>
        <v>5.9159906568767362E-21</v>
      </c>
      <c r="J67">
        <f t="shared" si="3"/>
        <v>3584912846.1315918</v>
      </c>
      <c r="K67">
        <f t="shared" si="4"/>
        <v>2.7894680928689246E-10</v>
      </c>
      <c r="L67">
        <f t="shared" si="5"/>
        <v>3584912846.1315918</v>
      </c>
      <c r="M67" s="3">
        <f t="shared" si="6"/>
        <v>1.1573817996322227</v>
      </c>
    </row>
    <row r="68" spans="1:13" x14ac:dyDescent="0.2">
      <c r="A68" s="3">
        <v>23</v>
      </c>
      <c r="B68" s="3">
        <f t="shared" si="11"/>
        <v>10</v>
      </c>
      <c r="C68" s="3">
        <f t="shared" si="0"/>
        <v>3</v>
      </c>
      <c r="D68" s="3">
        <f t="shared" si="1"/>
        <v>43</v>
      </c>
      <c r="E68" s="3">
        <f t="shared" si="2"/>
        <v>6.324555320336759</v>
      </c>
      <c r="F68" s="3">
        <f t="shared" si="7"/>
        <v>0.47434164902525688</v>
      </c>
      <c r="G68" s="3">
        <f t="shared" si="8"/>
        <v>6.7988969693620156</v>
      </c>
      <c r="H68">
        <f t="shared" si="9"/>
        <v>0.50233495436050202</v>
      </c>
      <c r="I68">
        <f t="shared" si="10"/>
        <v>6.9047394217552388E-22</v>
      </c>
      <c r="J68">
        <f t="shared" si="3"/>
        <v>9744803446.2489033</v>
      </c>
      <c r="K68">
        <f t="shared" si="4"/>
        <v>1.026187963170189E-10</v>
      </c>
      <c r="L68">
        <f t="shared" si="5"/>
        <v>9744803446.2489033</v>
      </c>
      <c r="M68" s="3">
        <f t="shared" si="6"/>
        <v>0.87353344848674563</v>
      </c>
    </row>
    <row r="69" spans="1:13" x14ac:dyDescent="0.2">
      <c r="A69" s="3">
        <v>24</v>
      </c>
      <c r="B69" s="3">
        <f t="shared" si="11"/>
        <v>10</v>
      </c>
      <c r="C69" s="3">
        <f t="shared" si="0"/>
        <v>4</v>
      </c>
      <c r="D69" s="3">
        <f t="shared" si="1"/>
        <v>44</v>
      </c>
      <c r="E69" s="3">
        <f t="shared" si="2"/>
        <v>6.324555320336759</v>
      </c>
      <c r="F69" s="3">
        <f t="shared" si="7"/>
        <v>0.63245553203367588</v>
      </c>
      <c r="G69" s="3">
        <f t="shared" si="8"/>
        <v>6.9570108523704342</v>
      </c>
      <c r="H69">
        <f t="shared" si="9"/>
        <v>0.37109336952269767</v>
      </c>
      <c r="I69">
        <f t="shared" si="10"/>
        <v>7.6696105188188643E-23</v>
      </c>
      <c r="J69">
        <f t="shared" si="3"/>
        <v>26489122129.843472</v>
      </c>
      <c r="K69">
        <f t="shared" si="4"/>
        <v>3.7751345442790977E-11</v>
      </c>
      <c r="L69">
        <f t="shared" si="5"/>
        <v>26489122129.843472</v>
      </c>
      <c r="M69" s="3">
        <f t="shared" si="6"/>
        <v>0.63455547592699912</v>
      </c>
    </row>
    <row r="70" spans="1:13" x14ac:dyDescent="0.2">
      <c r="A70" s="3">
        <v>25</v>
      </c>
      <c r="B70" s="3">
        <f t="shared" si="11"/>
        <v>10</v>
      </c>
      <c r="C70" s="3">
        <f t="shared" si="0"/>
        <v>5</v>
      </c>
      <c r="D70" s="3">
        <f t="shared" si="1"/>
        <v>45</v>
      </c>
      <c r="E70" s="3">
        <f t="shared" si="2"/>
        <v>6.324555320336759</v>
      </c>
      <c r="F70" s="3">
        <f t="shared" si="7"/>
        <v>0.79056941504209477</v>
      </c>
      <c r="G70" s="3">
        <f t="shared" si="8"/>
        <v>7.1151247353788527</v>
      </c>
      <c r="H70">
        <f t="shared" si="9"/>
        <v>0.26355247728297276</v>
      </c>
      <c r="I70">
        <f t="shared" si="10"/>
        <v>8.1076716983672136E-24</v>
      </c>
      <c r="J70">
        <f t="shared" si="3"/>
        <v>72004899337.38588</v>
      </c>
      <c r="K70">
        <f t="shared" si="4"/>
        <v>1.3887943864964021E-11</v>
      </c>
      <c r="L70">
        <f t="shared" si="5"/>
        <v>72004899337.38588</v>
      </c>
      <c r="M70" s="3">
        <f t="shared" si="6"/>
        <v>0.44303317400895864</v>
      </c>
    </row>
    <row r="71" spans="1:13" x14ac:dyDescent="0.2">
      <c r="A71" s="3">
        <v>26</v>
      </c>
      <c r="B71" s="3">
        <f t="shared" si="11"/>
        <v>10</v>
      </c>
      <c r="C71" s="3">
        <f t="shared" si="0"/>
        <v>6</v>
      </c>
      <c r="D71" s="3">
        <f t="shared" si="1"/>
        <v>46</v>
      </c>
      <c r="E71" s="3">
        <f t="shared" si="2"/>
        <v>6.324555320336759</v>
      </c>
      <c r="F71" s="3">
        <f t="shared" si="7"/>
        <v>0.94868329805051377</v>
      </c>
      <c r="G71" s="3">
        <f t="shared" si="8"/>
        <v>7.2732386183872721</v>
      </c>
      <c r="H71">
        <f t="shared" si="9"/>
        <v>0.17971249487899987</v>
      </c>
      <c r="I71">
        <f t="shared" si="10"/>
        <v>8.1565598430116463E-25</v>
      </c>
      <c r="J71">
        <f t="shared" si="3"/>
        <v>195729609428.83878</v>
      </c>
      <c r="K71">
        <f t="shared" si="4"/>
        <v>5.1090890280633251E-12</v>
      </c>
      <c r="L71">
        <f t="shared" si="5"/>
        <v>195729609428.83878</v>
      </c>
      <c r="M71" s="3">
        <f t="shared" si="6"/>
        <v>0.29692929772419746</v>
      </c>
    </row>
    <row r="72" spans="1:13" x14ac:dyDescent="0.2">
      <c r="A72" s="3">
        <v>27</v>
      </c>
      <c r="B72" s="3">
        <f t="shared" si="11"/>
        <v>10</v>
      </c>
      <c r="C72" s="3">
        <f t="shared" ref="C72:C100" si="12">ABS(A72)-$B$28*B72</f>
        <v>7</v>
      </c>
      <c r="D72" s="3">
        <f t="shared" ref="D72:D100" si="13">ABS(A72)+$B$28*B72</f>
        <v>47</v>
      </c>
      <c r="E72" s="3">
        <f t="shared" ref="E72:E100" si="14">2*SQRT($B$25*B72)</f>
        <v>6.324555320336759</v>
      </c>
      <c r="F72" s="3">
        <f t="shared" si="7"/>
        <v>1.1067971810589328</v>
      </c>
      <c r="G72" s="3">
        <f t="shared" si="8"/>
        <v>7.4313525013956907</v>
      </c>
      <c r="H72">
        <f t="shared" si="9"/>
        <v>0.11752486809663917</v>
      </c>
      <c r="I72">
        <f t="shared" si="10"/>
        <v>7.8090401457081022E-26</v>
      </c>
      <c r="J72">
        <f t="shared" ref="J72:J100" si="15">EXP(A72*$B$30)</f>
        <v>532048240601.79865</v>
      </c>
      <c r="K72">
        <f t="shared" ref="K72:K100" si="16">EXP(-ABS(A72)*$B$30)</f>
        <v>1.8795288165390832E-12</v>
      </c>
      <c r="L72">
        <f t="shared" ref="L72:L100" si="17">EXP(ABS(A72)*$B$30)</f>
        <v>532048240601.79865</v>
      </c>
      <c r="M72" s="3">
        <f t="shared" ref="M72:M100" si="18">$B$32*J72*(K72*H72-L72*I72)</f>
        <v>0.19083880381754253</v>
      </c>
    </row>
    <row r="73" spans="1:13" x14ac:dyDescent="0.2">
      <c r="A73" s="3">
        <v>28</v>
      </c>
      <c r="B73" s="3">
        <f t="shared" si="11"/>
        <v>10</v>
      </c>
      <c r="C73" s="3">
        <f t="shared" si="12"/>
        <v>8</v>
      </c>
      <c r="D73" s="3">
        <f t="shared" si="13"/>
        <v>48</v>
      </c>
      <c r="E73" s="3">
        <f t="shared" si="14"/>
        <v>6.324555320336759</v>
      </c>
      <c r="F73" s="3">
        <f t="shared" si="7"/>
        <v>1.2649110640673518</v>
      </c>
      <c r="G73" s="3">
        <f t="shared" si="8"/>
        <v>7.5894663844041101</v>
      </c>
      <c r="H73">
        <f t="shared" si="9"/>
        <v>7.3638270120302621E-2</v>
      </c>
      <c r="I73">
        <f t="shared" si="10"/>
        <v>7.1147600453968553E-27</v>
      </c>
      <c r="J73">
        <f t="shared" si="15"/>
        <v>1446257064291.4751</v>
      </c>
      <c r="K73">
        <f t="shared" si="16"/>
        <v>6.914400106940203E-13</v>
      </c>
      <c r="L73">
        <f t="shared" si="17"/>
        <v>1446257064291.4751</v>
      </c>
      <c r="M73" s="3">
        <f t="shared" si="18"/>
        <v>0.11751322941898885</v>
      </c>
    </row>
    <row r="74" spans="1:13" x14ac:dyDescent="0.2">
      <c r="A74" s="3">
        <v>29</v>
      </c>
      <c r="B74" s="3">
        <f t="shared" si="11"/>
        <v>10</v>
      </c>
      <c r="C74" s="3">
        <f t="shared" si="12"/>
        <v>9</v>
      </c>
      <c r="D74" s="3">
        <f t="shared" si="13"/>
        <v>49</v>
      </c>
      <c r="E74" s="3">
        <f t="shared" si="14"/>
        <v>6.324555320336759</v>
      </c>
      <c r="F74" s="3">
        <f t="shared" si="7"/>
        <v>1.4230249470757705</v>
      </c>
      <c r="G74" s="3">
        <f t="shared" si="8"/>
        <v>7.7475802674125287</v>
      </c>
      <c r="H74">
        <f t="shared" si="9"/>
        <v>4.4171344908442642E-2</v>
      </c>
      <c r="I74">
        <f t="shared" si="10"/>
        <v>6.1686126611621076E-28</v>
      </c>
      <c r="J74">
        <f t="shared" si="15"/>
        <v>3931334297144.042</v>
      </c>
      <c r="K74">
        <f t="shared" si="16"/>
        <v>2.5436656473769228E-13</v>
      </c>
      <c r="L74">
        <f t="shared" si="17"/>
        <v>3931334297144.042</v>
      </c>
      <c r="M74" s="3">
        <f t="shared" si="18"/>
        <v>6.9275027724085031E-2</v>
      </c>
    </row>
    <row r="75" spans="1:13" x14ac:dyDescent="0.2">
      <c r="A75" s="3">
        <v>30</v>
      </c>
      <c r="B75" s="3">
        <f t="shared" si="11"/>
        <v>10</v>
      </c>
      <c r="C75" s="3">
        <f t="shared" si="12"/>
        <v>10</v>
      </c>
      <c r="D75" s="3">
        <f t="shared" si="13"/>
        <v>50</v>
      </c>
      <c r="E75" s="3">
        <f t="shared" si="14"/>
        <v>6.324555320336759</v>
      </c>
      <c r="F75" s="3">
        <f t="shared" si="7"/>
        <v>1.5811388300841895</v>
      </c>
      <c r="G75" s="3">
        <f t="shared" si="8"/>
        <v>7.9056941504209481</v>
      </c>
      <c r="H75">
        <f t="shared" si="9"/>
        <v>2.5347318677468273E-2</v>
      </c>
      <c r="I75">
        <f t="shared" si="10"/>
        <v>5.0894689738143671E-29</v>
      </c>
      <c r="J75">
        <f t="shared" si="15"/>
        <v>10686474581524.463</v>
      </c>
      <c r="K75">
        <f t="shared" si="16"/>
        <v>9.3576229688401748E-14</v>
      </c>
      <c r="L75">
        <f t="shared" si="17"/>
        <v>10686474581524.463</v>
      </c>
      <c r="M75" s="3">
        <f t="shared" si="18"/>
        <v>3.9070214998269244E-2</v>
      </c>
    </row>
    <row r="76" spans="1:13" x14ac:dyDescent="0.2">
      <c r="A76" s="3">
        <v>31</v>
      </c>
      <c r="B76" s="3">
        <f t="shared" si="11"/>
        <v>10</v>
      </c>
      <c r="C76" s="3">
        <f t="shared" si="12"/>
        <v>11</v>
      </c>
      <c r="D76" s="3">
        <f t="shared" si="13"/>
        <v>51</v>
      </c>
      <c r="E76" s="3">
        <f t="shared" si="14"/>
        <v>6.324555320336759</v>
      </c>
      <c r="F76" s="3">
        <f t="shared" si="7"/>
        <v>1.7392527130926085</v>
      </c>
      <c r="G76" s="3">
        <f t="shared" si="8"/>
        <v>8.0638080334293676</v>
      </c>
      <c r="H76">
        <f t="shared" si="9"/>
        <v>1.3906296895346077E-2</v>
      </c>
      <c r="I76">
        <f t="shared" si="10"/>
        <v>3.9958450641711745E-30</v>
      </c>
      <c r="J76">
        <f t="shared" si="15"/>
        <v>29048849665247.426</v>
      </c>
      <c r="K76">
        <f t="shared" si="16"/>
        <v>3.4424771084699768E-14</v>
      </c>
      <c r="L76">
        <f t="shared" si="17"/>
        <v>29048849665247.426</v>
      </c>
      <c r="M76" s="3">
        <f t="shared" si="18"/>
        <v>2.106892062179087E-2</v>
      </c>
    </row>
    <row r="77" spans="1:13" x14ac:dyDescent="0.2">
      <c r="A77" s="3">
        <v>32</v>
      </c>
      <c r="B77" s="3">
        <f t="shared" si="11"/>
        <v>10</v>
      </c>
      <c r="C77" s="3">
        <f t="shared" si="12"/>
        <v>12</v>
      </c>
      <c r="D77" s="3">
        <f t="shared" si="13"/>
        <v>52</v>
      </c>
      <c r="E77" s="3">
        <f t="shared" si="14"/>
        <v>6.324555320336759</v>
      </c>
      <c r="F77" s="3">
        <f t="shared" si="7"/>
        <v>1.8973665961010275</v>
      </c>
      <c r="G77" s="3">
        <f t="shared" si="8"/>
        <v>8.2219219164377861</v>
      </c>
      <c r="H77">
        <f t="shared" si="9"/>
        <v>7.2903580915356422E-3</v>
      </c>
      <c r="I77">
        <f t="shared" si="10"/>
        <v>2.9853127767597751E-31</v>
      </c>
      <c r="J77">
        <f t="shared" si="15"/>
        <v>78962960182680.688</v>
      </c>
      <c r="K77">
        <f t="shared" si="16"/>
        <v>1.2664165549094176E-14</v>
      </c>
      <c r="L77">
        <f t="shared" si="17"/>
        <v>78962960182680.688</v>
      </c>
      <c r="M77" s="3">
        <f t="shared" si="18"/>
        <v>1.0857942139881506E-2</v>
      </c>
    </row>
    <row r="78" spans="1:13" x14ac:dyDescent="0.2">
      <c r="A78" s="3">
        <v>33</v>
      </c>
      <c r="B78" s="3">
        <f t="shared" si="11"/>
        <v>10</v>
      </c>
      <c r="C78" s="3">
        <f t="shared" si="12"/>
        <v>13</v>
      </c>
      <c r="D78" s="3">
        <f t="shared" si="13"/>
        <v>53</v>
      </c>
      <c r="E78" s="3">
        <f t="shared" si="14"/>
        <v>6.324555320336759</v>
      </c>
      <c r="F78" s="3">
        <f t="shared" si="7"/>
        <v>2.0554804791094465</v>
      </c>
      <c r="G78" s="3">
        <f t="shared" si="8"/>
        <v>8.3800357994462047</v>
      </c>
      <c r="H78">
        <f t="shared" si="9"/>
        <v>3.650434404441876E-3</v>
      </c>
      <c r="I78">
        <f t="shared" si="10"/>
        <v>2.1223169041005736E-32</v>
      </c>
      <c r="J78">
        <f t="shared" si="15"/>
        <v>214643579785916.06</v>
      </c>
      <c r="K78">
        <f t="shared" si="16"/>
        <v>4.6588861451033977E-15</v>
      </c>
      <c r="L78">
        <f t="shared" si="17"/>
        <v>214643579785916.06</v>
      </c>
      <c r="M78" s="3">
        <f t="shared" si="18"/>
        <v>5.3452867940062465E-3</v>
      </c>
    </row>
    <row r="79" spans="1:13" x14ac:dyDescent="0.2">
      <c r="A79" s="3">
        <v>34</v>
      </c>
      <c r="B79" s="3">
        <f t="shared" si="11"/>
        <v>10</v>
      </c>
      <c r="C79" s="3">
        <f t="shared" si="12"/>
        <v>14</v>
      </c>
      <c r="D79" s="3">
        <f t="shared" si="13"/>
        <v>54</v>
      </c>
      <c r="E79" s="3">
        <f t="shared" si="14"/>
        <v>6.324555320336759</v>
      </c>
      <c r="F79" s="3">
        <f t="shared" si="7"/>
        <v>2.2135943621178655</v>
      </c>
      <c r="G79" s="3">
        <f t="shared" si="8"/>
        <v>8.5381496824546232</v>
      </c>
      <c r="H79">
        <f t="shared" si="9"/>
        <v>1.7451186995289046E-3</v>
      </c>
      <c r="I79">
        <f t="shared" si="10"/>
        <v>1.4357019667748239E-33</v>
      </c>
      <c r="J79">
        <f t="shared" si="15"/>
        <v>583461742527454.88</v>
      </c>
      <c r="K79">
        <f t="shared" si="16"/>
        <v>1.713908431542013E-15</v>
      </c>
      <c r="L79">
        <f t="shared" si="17"/>
        <v>583461742527454.88</v>
      </c>
      <c r="M79" s="3">
        <f t="shared" si="18"/>
        <v>2.5127322349915234E-3</v>
      </c>
    </row>
    <row r="80" spans="1:13" x14ac:dyDescent="0.2">
      <c r="A80" s="3">
        <v>35</v>
      </c>
      <c r="B80" s="3">
        <f t="shared" si="11"/>
        <v>10</v>
      </c>
      <c r="C80" s="3">
        <f t="shared" si="12"/>
        <v>15</v>
      </c>
      <c r="D80" s="3">
        <f t="shared" si="13"/>
        <v>55</v>
      </c>
      <c r="E80" s="3">
        <f t="shared" si="14"/>
        <v>6.324555320336759</v>
      </c>
      <c r="F80" s="3">
        <f t="shared" si="7"/>
        <v>2.3717082451262845</v>
      </c>
      <c r="G80" s="3">
        <f t="shared" si="8"/>
        <v>8.6962635654630418</v>
      </c>
      <c r="H80">
        <f t="shared" si="9"/>
        <v>7.9623015759081148E-4</v>
      </c>
      <c r="I80">
        <f t="shared" si="10"/>
        <v>9.2415919535320021E-35</v>
      </c>
      <c r="J80">
        <f t="shared" si="15"/>
        <v>1586013452313430.8</v>
      </c>
      <c r="K80">
        <f t="shared" si="16"/>
        <v>6.3051167601469892E-16</v>
      </c>
      <c r="L80">
        <f t="shared" si="17"/>
        <v>1586013452313430.8</v>
      </c>
      <c r="M80" s="3">
        <f t="shared" si="18"/>
        <v>1.1275271595662267E-3</v>
      </c>
    </row>
    <row r="81" spans="1:13" x14ac:dyDescent="0.2">
      <c r="A81" s="3">
        <v>36</v>
      </c>
      <c r="B81" s="3">
        <f t="shared" si="11"/>
        <v>10</v>
      </c>
      <c r="C81" s="3">
        <f t="shared" si="12"/>
        <v>16</v>
      </c>
      <c r="D81" s="3">
        <f t="shared" si="13"/>
        <v>56</v>
      </c>
      <c r="E81" s="3">
        <f t="shared" si="14"/>
        <v>6.324555320336759</v>
      </c>
      <c r="F81" s="3">
        <f t="shared" si="7"/>
        <v>2.5298221281347035</v>
      </c>
      <c r="G81" s="3">
        <f t="shared" si="8"/>
        <v>8.8543774484714621</v>
      </c>
      <c r="H81">
        <f t="shared" si="9"/>
        <v>3.466193511346668E-4</v>
      </c>
      <c r="I81">
        <f t="shared" si="10"/>
        <v>5.6604733066435704E-36</v>
      </c>
      <c r="J81">
        <f t="shared" si="15"/>
        <v>4311231547115195</v>
      </c>
      <c r="K81">
        <f t="shared" si="16"/>
        <v>2.3195228302435691E-16</v>
      </c>
      <c r="L81">
        <f t="shared" si="17"/>
        <v>4311231547115195</v>
      </c>
      <c r="M81" s="3">
        <f t="shared" si="18"/>
        <v>4.828194662694651E-4</v>
      </c>
    </row>
    <row r="82" spans="1:13" x14ac:dyDescent="0.2">
      <c r="A82" s="3">
        <v>37</v>
      </c>
      <c r="B82" s="3">
        <f t="shared" si="11"/>
        <v>10</v>
      </c>
      <c r="C82" s="3">
        <f t="shared" si="12"/>
        <v>17</v>
      </c>
      <c r="D82" s="3">
        <f t="shared" si="13"/>
        <v>57</v>
      </c>
      <c r="E82" s="3">
        <f t="shared" si="14"/>
        <v>6.324555320336759</v>
      </c>
      <c r="F82" s="3">
        <f t="shared" si="7"/>
        <v>2.6879360111431221</v>
      </c>
      <c r="G82" s="3">
        <f t="shared" si="8"/>
        <v>9.0124913314798807</v>
      </c>
      <c r="H82">
        <f t="shared" si="9"/>
        <v>1.4392985649715732E-4</v>
      </c>
      <c r="I82">
        <f t="shared" si="10"/>
        <v>3.2989630531769345E-37</v>
      </c>
      <c r="J82">
        <f t="shared" si="15"/>
        <v>1.1719142372802612E+16</v>
      </c>
      <c r="K82">
        <f t="shared" si="16"/>
        <v>8.5330476257440658E-17</v>
      </c>
      <c r="L82">
        <f t="shared" si="17"/>
        <v>1.1719142372802612E+16</v>
      </c>
      <c r="M82" s="3">
        <f t="shared" si="18"/>
        <v>1.9724491884701276E-4</v>
      </c>
    </row>
    <row r="83" spans="1:13" x14ac:dyDescent="0.2">
      <c r="A83" s="3">
        <v>38</v>
      </c>
      <c r="B83" s="3">
        <f t="shared" si="11"/>
        <v>10</v>
      </c>
      <c r="C83" s="3">
        <f t="shared" si="12"/>
        <v>18</v>
      </c>
      <c r="D83" s="3">
        <f t="shared" si="13"/>
        <v>58</v>
      </c>
      <c r="E83" s="3">
        <f t="shared" si="14"/>
        <v>6.324555320336759</v>
      </c>
      <c r="F83" s="3">
        <f t="shared" si="7"/>
        <v>2.8460498941515411</v>
      </c>
      <c r="G83" s="3">
        <f t="shared" si="8"/>
        <v>9.1706052144882992</v>
      </c>
      <c r="H83">
        <f t="shared" si="9"/>
        <v>5.6994116233318567E-5</v>
      </c>
      <c r="I83">
        <f t="shared" si="10"/>
        <v>1.8294326354169205E-38</v>
      </c>
      <c r="J83">
        <f t="shared" si="15"/>
        <v>3.1855931757113756E+16</v>
      </c>
      <c r="K83">
        <f t="shared" si="16"/>
        <v>3.1391327920480296E-17</v>
      </c>
      <c r="L83">
        <f t="shared" si="17"/>
        <v>3.1855931757113756E+16</v>
      </c>
      <c r="M83" s="3">
        <f t="shared" si="18"/>
        <v>7.6858053497651027E-5</v>
      </c>
    </row>
    <row r="84" spans="1:13" x14ac:dyDescent="0.2">
      <c r="A84" s="3">
        <v>39</v>
      </c>
      <c r="B84" s="3">
        <f t="shared" si="11"/>
        <v>10</v>
      </c>
      <c r="C84" s="3">
        <f t="shared" si="12"/>
        <v>19</v>
      </c>
      <c r="D84" s="3">
        <f t="shared" si="13"/>
        <v>59</v>
      </c>
      <c r="E84" s="3">
        <f t="shared" si="14"/>
        <v>6.324555320336759</v>
      </c>
      <c r="F84" s="3">
        <f t="shared" si="7"/>
        <v>3.0041637771599601</v>
      </c>
      <c r="G84" s="3">
        <f t="shared" si="8"/>
        <v>9.3287190974967178</v>
      </c>
      <c r="H84">
        <f t="shared" si="9"/>
        <v>2.1517864378120222E-5</v>
      </c>
      <c r="I84">
        <f t="shared" si="10"/>
        <v>9.6530686824513599E-40</v>
      </c>
      <c r="J84">
        <f t="shared" si="15"/>
        <v>8.6593400423993744E+16</v>
      </c>
      <c r="K84">
        <f t="shared" si="16"/>
        <v>1.1548224173015786E-17</v>
      </c>
      <c r="L84">
        <f t="shared" si="17"/>
        <v>8.6593400423993744E+16</v>
      </c>
      <c r="M84" s="3">
        <f t="shared" si="18"/>
        <v>2.8559181899919185E-5</v>
      </c>
    </row>
    <row r="85" spans="1:13" x14ac:dyDescent="0.2">
      <c r="A85" s="3">
        <v>40</v>
      </c>
      <c r="B85" s="3">
        <f t="shared" si="11"/>
        <v>10</v>
      </c>
      <c r="C85" s="3">
        <f t="shared" si="12"/>
        <v>20</v>
      </c>
      <c r="D85" s="3">
        <f t="shared" si="13"/>
        <v>60</v>
      </c>
      <c r="E85" s="3">
        <f t="shared" si="14"/>
        <v>6.324555320336759</v>
      </c>
      <c r="F85" s="3">
        <f t="shared" si="7"/>
        <v>3.1622776601683791</v>
      </c>
      <c r="G85" s="3">
        <f t="shared" si="8"/>
        <v>9.4868329805051381</v>
      </c>
      <c r="H85">
        <f t="shared" si="9"/>
        <v>7.7442164310440977E-6</v>
      </c>
      <c r="I85">
        <f t="shared" si="10"/>
        <v>4.8464118424053328E-41</v>
      </c>
      <c r="J85">
        <f t="shared" si="15"/>
        <v>2.3538526683702E+17</v>
      </c>
      <c r="K85">
        <f t="shared" si="16"/>
        <v>4.2483542552915889E-18</v>
      </c>
      <c r="L85">
        <f t="shared" si="17"/>
        <v>2.3538526683702E+17</v>
      </c>
      <c r="M85" s="3">
        <f t="shared" si="18"/>
        <v>1.0118005274484039E-5</v>
      </c>
    </row>
    <row r="86" spans="1:13" x14ac:dyDescent="0.2">
      <c r="A86" s="3">
        <v>41</v>
      </c>
      <c r="B86" s="3">
        <f t="shared" si="11"/>
        <v>10</v>
      </c>
      <c r="C86" s="3">
        <f t="shared" si="12"/>
        <v>21</v>
      </c>
      <c r="D86" s="3">
        <f t="shared" si="13"/>
        <v>61</v>
      </c>
      <c r="E86" s="3">
        <f t="shared" si="14"/>
        <v>6.324555320336759</v>
      </c>
      <c r="F86" s="3">
        <f t="shared" si="7"/>
        <v>3.3203915431767981</v>
      </c>
      <c r="G86" s="3">
        <f t="shared" si="8"/>
        <v>9.6449468635135567</v>
      </c>
      <c r="H86">
        <f t="shared" si="9"/>
        <v>2.6563968243191819E-6</v>
      </c>
      <c r="I86">
        <f t="shared" si="10"/>
        <v>2.315140334700942E-42</v>
      </c>
      <c r="J86">
        <f t="shared" si="15"/>
        <v>6.3984349353005491E+17</v>
      </c>
      <c r="K86">
        <f t="shared" si="16"/>
        <v>1.5628821893349888E-18</v>
      </c>
      <c r="L86">
        <f t="shared" si="17"/>
        <v>6.3984349353005491E+17</v>
      </c>
      <c r="M86" s="3">
        <f t="shared" si="18"/>
        <v>3.4171581492054845E-6</v>
      </c>
    </row>
    <row r="87" spans="1:13" x14ac:dyDescent="0.2">
      <c r="A87" s="3">
        <v>42</v>
      </c>
      <c r="B87" s="3">
        <f t="shared" si="11"/>
        <v>10</v>
      </c>
      <c r="C87" s="3">
        <f t="shared" si="12"/>
        <v>22</v>
      </c>
      <c r="D87" s="3">
        <f t="shared" si="13"/>
        <v>62</v>
      </c>
      <c r="E87" s="3">
        <f t="shared" si="14"/>
        <v>6.324555320336759</v>
      </c>
      <c r="F87" s="3">
        <f t="shared" si="7"/>
        <v>3.4785054261852171</v>
      </c>
      <c r="G87" s="3">
        <f t="shared" si="8"/>
        <v>9.8030607465219752</v>
      </c>
      <c r="H87">
        <f t="shared" si="9"/>
        <v>8.6832280854547149E-7</v>
      </c>
      <c r="I87">
        <f t="shared" si="10"/>
        <v>1.052283415732426E-43</v>
      </c>
      <c r="J87">
        <f t="shared" si="15"/>
        <v>1.739274941520501E+18</v>
      </c>
      <c r="K87">
        <f t="shared" si="16"/>
        <v>5.7495222642935599E-19</v>
      </c>
      <c r="L87">
        <f t="shared" si="17"/>
        <v>1.739274941520501E+18</v>
      </c>
      <c r="M87" s="3">
        <f t="shared" si="18"/>
        <v>1.099997877598839E-6</v>
      </c>
    </row>
    <row r="88" spans="1:13" x14ac:dyDescent="0.2">
      <c r="A88" s="3">
        <v>43</v>
      </c>
      <c r="B88" s="3">
        <f t="shared" si="11"/>
        <v>10</v>
      </c>
      <c r="C88" s="3">
        <f t="shared" si="12"/>
        <v>23</v>
      </c>
      <c r="D88" s="3">
        <f t="shared" si="13"/>
        <v>63</v>
      </c>
      <c r="E88" s="3">
        <f t="shared" si="14"/>
        <v>6.324555320336759</v>
      </c>
      <c r="F88" s="3">
        <f t="shared" si="7"/>
        <v>3.6366193091936361</v>
      </c>
      <c r="G88" s="3">
        <f t="shared" si="8"/>
        <v>9.9611746295303938</v>
      </c>
      <c r="H88">
        <f t="shared" si="9"/>
        <v>2.7044847886335556E-7</v>
      </c>
      <c r="I88">
        <f t="shared" si="10"/>
        <v>4.5507504173767479E-45</v>
      </c>
      <c r="J88">
        <f t="shared" si="15"/>
        <v>4.7278394682293463E+18</v>
      </c>
      <c r="K88">
        <f t="shared" si="16"/>
        <v>2.1151310375910805E-19</v>
      </c>
      <c r="L88">
        <f t="shared" si="17"/>
        <v>4.7278394682293463E+18</v>
      </c>
      <c r="M88" s="3">
        <f t="shared" si="18"/>
        <v>3.3745596942899682E-7</v>
      </c>
    </row>
    <row r="89" spans="1:13" x14ac:dyDescent="0.2">
      <c r="A89" s="3">
        <v>44</v>
      </c>
      <c r="B89" s="3">
        <f t="shared" si="11"/>
        <v>10</v>
      </c>
      <c r="C89" s="3">
        <f t="shared" si="12"/>
        <v>24</v>
      </c>
      <c r="D89" s="3">
        <f t="shared" si="13"/>
        <v>64</v>
      </c>
      <c r="E89" s="3">
        <f t="shared" si="14"/>
        <v>6.324555320336759</v>
      </c>
      <c r="F89" s="3">
        <f t="shared" si="7"/>
        <v>3.7947331922020551</v>
      </c>
      <c r="G89" s="3">
        <f t="shared" si="8"/>
        <v>10.119288512538814</v>
      </c>
      <c r="H89">
        <f t="shared" si="9"/>
        <v>8.0251112669275954E-8</v>
      </c>
      <c r="I89">
        <f t="shared" si="10"/>
        <v>1.8725130072940396E-46</v>
      </c>
      <c r="J89">
        <f t="shared" si="15"/>
        <v>1.2851600114359308E+19</v>
      </c>
      <c r="K89">
        <f t="shared" si="16"/>
        <v>7.7811322411337966E-20</v>
      </c>
      <c r="L89">
        <f t="shared" si="17"/>
        <v>1.2851600114359308E+19</v>
      </c>
      <c r="M89" s="3">
        <f t="shared" si="18"/>
        <v>9.8648017922658239E-8</v>
      </c>
    </row>
    <row r="90" spans="1:13" x14ac:dyDescent="0.2">
      <c r="A90" s="3">
        <v>45</v>
      </c>
      <c r="B90" s="3">
        <f t="shared" si="11"/>
        <v>10</v>
      </c>
      <c r="C90" s="3">
        <f t="shared" si="12"/>
        <v>25</v>
      </c>
      <c r="D90" s="3">
        <f t="shared" si="13"/>
        <v>65</v>
      </c>
      <c r="E90" s="3">
        <f t="shared" si="14"/>
        <v>6.324555320336759</v>
      </c>
      <c r="F90" s="3">
        <f t="shared" si="7"/>
        <v>3.9528470752104741</v>
      </c>
      <c r="G90" s="3">
        <f t="shared" si="8"/>
        <v>10.277402395547233</v>
      </c>
      <c r="H90">
        <f t="shared" si="9"/>
        <v>2.2684748592600856E-8</v>
      </c>
      <c r="I90">
        <f t="shared" si="10"/>
        <v>7.3308612443058151E-48</v>
      </c>
      <c r="J90">
        <f t="shared" si="15"/>
        <v>3.4934271057485095E+19</v>
      </c>
      <c r="K90">
        <f t="shared" si="16"/>
        <v>2.8625185805493937E-20</v>
      </c>
      <c r="L90">
        <f t="shared" si="17"/>
        <v>3.4934271057485095E+19</v>
      </c>
      <c r="M90" s="3">
        <f t="shared" si="18"/>
        <v>2.7476282759726106E-8</v>
      </c>
    </row>
    <row r="91" spans="1:13" x14ac:dyDescent="0.2">
      <c r="A91" s="3">
        <v>46</v>
      </c>
      <c r="B91" s="3">
        <f t="shared" si="11"/>
        <v>10</v>
      </c>
      <c r="C91" s="3">
        <f t="shared" si="12"/>
        <v>26</v>
      </c>
      <c r="D91" s="3">
        <f t="shared" si="13"/>
        <v>66</v>
      </c>
      <c r="E91" s="3">
        <f t="shared" si="14"/>
        <v>6.324555320336759</v>
      </c>
      <c r="F91" s="3">
        <f t="shared" si="7"/>
        <v>4.1109609582188931</v>
      </c>
      <c r="G91" s="3">
        <f t="shared" si="8"/>
        <v>10.435516278555651</v>
      </c>
      <c r="H91">
        <f t="shared" si="9"/>
        <v>6.1078863597094942E-9</v>
      </c>
      <c r="I91">
        <f t="shared" si="10"/>
        <v>2.7306775798374862E-49</v>
      </c>
      <c r="J91">
        <f t="shared" si="15"/>
        <v>9.4961194206024483E+19</v>
      </c>
      <c r="K91">
        <f t="shared" si="16"/>
        <v>1.0530617357553812E-20</v>
      </c>
      <c r="L91">
        <f t="shared" si="17"/>
        <v>9.4961194206024483E+19</v>
      </c>
      <c r="M91" s="3">
        <f t="shared" si="18"/>
        <v>7.2909255776324217E-9</v>
      </c>
    </row>
    <row r="92" spans="1:13" x14ac:dyDescent="0.2">
      <c r="A92" s="3">
        <v>47</v>
      </c>
      <c r="B92" s="3">
        <f t="shared" si="11"/>
        <v>10</v>
      </c>
      <c r="C92" s="3">
        <f t="shared" si="12"/>
        <v>27</v>
      </c>
      <c r="D92" s="3">
        <f t="shared" si="13"/>
        <v>67</v>
      </c>
      <c r="E92" s="3">
        <f t="shared" si="14"/>
        <v>6.324555320336759</v>
      </c>
      <c r="F92" s="3">
        <f t="shared" si="7"/>
        <v>4.2690748412273116</v>
      </c>
      <c r="G92" s="3">
        <f t="shared" si="8"/>
        <v>10.59363016156407</v>
      </c>
      <c r="H92">
        <f t="shared" si="9"/>
        <v>1.5663312921022304E-9</v>
      </c>
      <c r="I92">
        <f t="shared" si="10"/>
        <v>9.6776116441690499E-51</v>
      </c>
      <c r="J92">
        <f t="shared" si="15"/>
        <v>2.5813128861900675E+20</v>
      </c>
      <c r="K92">
        <f t="shared" si="16"/>
        <v>3.8739976286871868E-21</v>
      </c>
      <c r="L92">
        <f t="shared" si="17"/>
        <v>2.5813128861900675E+20</v>
      </c>
      <c r="M92" s="3">
        <f t="shared" si="18"/>
        <v>1.8429899494226933E-9</v>
      </c>
    </row>
    <row r="93" spans="1:13" x14ac:dyDescent="0.2">
      <c r="A93" s="3">
        <v>48</v>
      </c>
      <c r="B93" s="3">
        <f t="shared" si="11"/>
        <v>10</v>
      </c>
      <c r="C93" s="3">
        <f t="shared" si="12"/>
        <v>28</v>
      </c>
      <c r="D93" s="3">
        <f t="shared" si="13"/>
        <v>68</v>
      </c>
      <c r="E93" s="3">
        <f t="shared" si="14"/>
        <v>6.324555320336759</v>
      </c>
      <c r="F93" s="3">
        <f t="shared" si="7"/>
        <v>4.4271887242357311</v>
      </c>
      <c r="G93" s="3">
        <f t="shared" si="8"/>
        <v>10.751744044572488</v>
      </c>
      <c r="H93">
        <f t="shared" si="9"/>
        <v>3.8254023259386252E-10</v>
      </c>
      <c r="I93">
        <f t="shared" si="10"/>
        <v>3.2632135342258494E-52</v>
      </c>
      <c r="J93">
        <f t="shared" si="15"/>
        <v>7.0167359120976314E+20</v>
      </c>
      <c r="K93">
        <f t="shared" si="16"/>
        <v>1.4251640827409352E-21</v>
      </c>
      <c r="L93">
        <f t="shared" si="17"/>
        <v>7.0167359120976314E+20</v>
      </c>
      <c r="M93" s="3">
        <f t="shared" si="18"/>
        <v>4.4375455090550598E-10</v>
      </c>
    </row>
    <row r="94" spans="1:13" x14ac:dyDescent="0.2">
      <c r="A94" s="3">
        <v>49</v>
      </c>
      <c r="B94" s="3">
        <f t="shared" si="11"/>
        <v>10</v>
      </c>
      <c r="C94" s="3">
        <f t="shared" si="12"/>
        <v>29</v>
      </c>
      <c r="D94" s="3">
        <f t="shared" si="13"/>
        <v>69</v>
      </c>
      <c r="E94" s="3">
        <f t="shared" si="14"/>
        <v>6.324555320336759</v>
      </c>
      <c r="F94" s="3">
        <f t="shared" si="7"/>
        <v>4.5853026072441496</v>
      </c>
      <c r="G94" s="3">
        <f t="shared" si="8"/>
        <v>10.909857927580909</v>
      </c>
      <c r="H94">
        <f t="shared" si="9"/>
        <v>8.8969190918391003E-11</v>
      </c>
      <c r="I94">
        <f t="shared" si="10"/>
        <v>1.0468866235051067E-53</v>
      </c>
      <c r="J94">
        <f t="shared" si="15"/>
        <v>1.9073465724950998E+21</v>
      </c>
      <c r="K94">
        <f t="shared" si="16"/>
        <v>5.2428856633634639E-22</v>
      </c>
      <c r="L94">
        <f t="shared" si="17"/>
        <v>1.9073465724950998E+21</v>
      </c>
      <c r="M94" s="3">
        <f t="shared" si="18"/>
        <v>1.0176751940174491E-10</v>
      </c>
    </row>
    <row r="95" spans="1:13" x14ac:dyDescent="0.2">
      <c r="A95" s="3">
        <v>50</v>
      </c>
      <c r="B95" s="3">
        <f t="shared" si="11"/>
        <v>10</v>
      </c>
      <c r="C95" s="3">
        <f t="shared" si="12"/>
        <v>30</v>
      </c>
      <c r="D95" s="3">
        <f t="shared" si="13"/>
        <v>70</v>
      </c>
      <c r="E95" s="3">
        <f t="shared" si="14"/>
        <v>6.324555320336759</v>
      </c>
      <c r="F95" s="3">
        <f t="shared" si="7"/>
        <v>4.7434164902525691</v>
      </c>
      <c r="G95" s="3">
        <f t="shared" si="8"/>
        <v>11.067971810589327</v>
      </c>
      <c r="H95">
        <f t="shared" si="9"/>
        <v>1.9703444711799161E-11</v>
      </c>
      <c r="I95">
        <f t="shared" si="10"/>
        <v>3.1954210346212372E-55</v>
      </c>
      <c r="J95">
        <f t="shared" si="15"/>
        <v>5.184705528587072E+21</v>
      </c>
      <c r="K95">
        <f t="shared" si="16"/>
        <v>1.9287498479639178E-22</v>
      </c>
      <c r="L95">
        <f t="shared" si="17"/>
        <v>5.184705528587072E+21</v>
      </c>
      <c r="M95" s="3">
        <f t="shared" si="18"/>
        <v>2.2227557306627929E-11</v>
      </c>
    </row>
    <row r="96" spans="1:13" x14ac:dyDescent="0.2">
      <c r="A96" s="3">
        <v>51</v>
      </c>
      <c r="B96" s="3">
        <f t="shared" si="11"/>
        <v>10</v>
      </c>
      <c r="C96" s="3">
        <f t="shared" si="12"/>
        <v>31</v>
      </c>
      <c r="D96" s="3">
        <f t="shared" si="13"/>
        <v>71</v>
      </c>
      <c r="E96" s="3">
        <f t="shared" si="14"/>
        <v>6.324555320336759</v>
      </c>
      <c r="F96" s="3">
        <f t="shared" si="7"/>
        <v>4.9015303732609876</v>
      </c>
      <c r="G96" s="3">
        <f t="shared" si="8"/>
        <v>11.226085693597746</v>
      </c>
      <c r="H96">
        <f t="shared" si="9"/>
        <v>4.1548762266523793E-12</v>
      </c>
      <c r="I96">
        <f t="shared" si="10"/>
        <v>9.2795805259218089E-57</v>
      </c>
      <c r="J96">
        <f t="shared" si="15"/>
        <v>1.4093490824269389E+22</v>
      </c>
      <c r="K96">
        <f t="shared" si="16"/>
        <v>7.0954741622847037E-23</v>
      </c>
      <c r="L96">
        <f t="shared" si="17"/>
        <v>1.4093490824269389E+22</v>
      </c>
      <c r="M96" s="3">
        <f t="shared" si="18"/>
        <v>4.6234115547555075E-12</v>
      </c>
    </row>
    <row r="97" spans="1:13" x14ac:dyDescent="0.2">
      <c r="A97" s="3">
        <v>52</v>
      </c>
      <c r="B97" s="3">
        <f t="shared" si="11"/>
        <v>10</v>
      </c>
      <c r="C97" s="3">
        <f t="shared" si="12"/>
        <v>32</v>
      </c>
      <c r="D97" s="3">
        <f t="shared" si="13"/>
        <v>72</v>
      </c>
      <c r="E97" s="3">
        <f t="shared" si="14"/>
        <v>6.324555320336759</v>
      </c>
      <c r="F97" s="3">
        <f t="shared" si="7"/>
        <v>5.0596442562694071</v>
      </c>
      <c r="G97" s="3">
        <f t="shared" si="8"/>
        <v>11.384199576606164</v>
      </c>
      <c r="H97">
        <f t="shared" si="9"/>
        <v>8.3418628478912555E-13</v>
      </c>
      <c r="I97">
        <f t="shared" si="10"/>
        <v>2.5638821011655101E-58</v>
      </c>
      <c r="J97">
        <f t="shared" si="15"/>
        <v>3.8310080007165769E+22</v>
      </c>
      <c r="K97">
        <f t="shared" si="16"/>
        <v>2.6102790696677047E-23</v>
      </c>
      <c r="L97">
        <f t="shared" si="17"/>
        <v>3.8310080007165769E+22</v>
      </c>
      <c r="M97" s="3">
        <f t="shared" si="18"/>
        <v>9.1578998508781216E-13</v>
      </c>
    </row>
    <row r="98" spans="1:13" x14ac:dyDescent="0.2">
      <c r="A98" s="3">
        <v>53</v>
      </c>
      <c r="B98" s="3">
        <f t="shared" si="11"/>
        <v>10</v>
      </c>
      <c r="C98" s="3">
        <f t="shared" si="12"/>
        <v>33</v>
      </c>
      <c r="D98" s="3">
        <f t="shared" si="13"/>
        <v>73</v>
      </c>
      <c r="E98" s="3">
        <f t="shared" si="14"/>
        <v>6.324555320336759</v>
      </c>
      <c r="F98" s="3">
        <f t="shared" si="7"/>
        <v>5.2177581392778256</v>
      </c>
      <c r="G98" s="3">
        <f t="shared" si="8"/>
        <v>11.542313459614585</v>
      </c>
      <c r="H98">
        <f t="shared" si="9"/>
        <v>1.5945369908213889E-13</v>
      </c>
      <c r="I98">
        <f t="shared" si="10"/>
        <v>6.7396126413945475E-60</v>
      </c>
      <c r="J98">
        <f t="shared" si="15"/>
        <v>1.0413759433029089E+23</v>
      </c>
      <c r="K98">
        <f t="shared" si="16"/>
        <v>9.6026800545086756E-24</v>
      </c>
      <c r="L98">
        <f t="shared" si="17"/>
        <v>1.0413759433029089E+23</v>
      </c>
      <c r="M98" s="3">
        <f t="shared" si="18"/>
        <v>1.7273007199931562E-13</v>
      </c>
    </row>
    <row r="99" spans="1:13" x14ac:dyDescent="0.2">
      <c r="A99" s="3">
        <v>54</v>
      </c>
      <c r="B99" s="3">
        <f t="shared" si="11"/>
        <v>10</v>
      </c>
      <c r="C99" s="3">
        <f t="shared" si="12"/>
        <v>34</v>
      </c>
      <c r="D99" s="3">
        <f t="shared" si="13"/>
        <v>74</v>
      </c>
      <c r="E99" s="3">
        <f t="shared" si="14"/>
        <v>6.324555320336759</v>
      </c>
      <c r="F99" s="3">
        <f t="shared" si="7"/>
        <v>5.3758720222862442</v>
      </c>
      <c r="G99" s="3">
        <f t="shared" si="8"/>
        <v>11.700427342623003</v>
      </c>
      <c r="H99">
        <f t="shared" si="9"/>
        <v>2.9016972125628953E-14</v>
      </c>
      <c r="I99">
        <f t="shared" si="10"/>
        <v>1.6855312991874767E-61</v>
      </c>
      <c r="J99">
        <f t="shared" si="15"/>
        <v>2.8307533032746939E+23</v>
      </c>
      <c r="K99">
        <f t="shared" si="16"/>
        <v>3.5326285722008071E-24</v>
      </c>
      <c r="L99">
        <f t="shared" si="17"/>
        <v>2.8307533032746939E+23</v>
      </c>
      <c r="M99" s="3">
        <f t="shared" si="18"/>
        <v>3.1021065906250755E-14</v>
      </c>
    </row>
    <row r="100" spans="1:13" x14ac:dyDescent="0.2">
      <c r="A100" s="3">
        <v>55</v>
      </c>
      <c r="B100" s="3">
        <f t="shared" si="11"/>
        <v>10</v>
      </c>
      <c r="C100" s="3">
        <f t="shared" si="12"/>
        <v>35</v>
      </c>
      <c r="D100" s="3">
        <f t="shared" si="13"/>
        <v>75</v>
      </c>
      <c r="E100" s="3">
        <f t="shared" si="14"/>
        <v>6.324555320336759</v>
      </c>
      <c r="F100" s="3">
        <f t="shared" si="7"/>
        <v>5.5339859052946636</v>
      </c>
      <c r="G100" s="3">
        <f t="shared" si="8"/>
        <v>11.858541225631422</v>
      </c>
      <c r="H100">
        <f t="shared" si="9"/>
        <v>5.0268561537410668E-15</v>
      </c>
      <c r="I100">
        <f t="shared" si="10"/>
        <v>4.0105285390711553E-63</v>
      </c>
      <c r="J100">
        <f t="shared" si="15"/>
        <v>7.6947852651420175E+23</v>
      </c>
      <c r="K100">
        <f t="shared" si="16"/>
        <v>1.2995814250075031E-24</v>
      </c>
      <c r="L100">
        <f t="shared" si="17"/>
        <v>7.6947852651420175E+23</v>
      </c>
      <c r="M100" s="3">
        <f t="shared" si="18"/>
        <v>5.3044668482838999E-15</v>
      </c>
    </row>
  </sheetData>
  <mergeCells count="2">
    <mergeCell ref="A20:H20"/>
    <mergeCell ref="A27:H27"/>
  </mergeCells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R65"/>
  <sheetViews>
    <sheetView workbookViewId="0">
      <selection activeCell="O28" sqref="O28"/>
    </sheetView>
  </sheetViews>
  <sheetFormatPr baseColWidth="10" defaultRowHeight="16" x14ac:dyDescent="0.2"/>
  <cols>
    <col min="1" max="1" width="23.6640625" style="16" customWidth="1"/>
    <col min="2" max="2" width="11" style="16" bestFit="1" customWidth="1"/>
    <col min="3" max="3" width="24.33203125" customWidth="1"/>
    <col min="4" max="5" width="11" bestFit="1" customWidth="1"/>
    <col min="6" max="9" width="12.1640625" bestFit="1" customWidth="1"/>
    <col min="10" max="14" width="11" bestFit="1" customWidth="1"/>
    <col min="15" max="18" width="12.1640625" bestFit="1" customWidth="1"/>
  </cols>
  <sheetData>
    <row r="1" spans="1:2" x14ac:dyDescent="0.2">
      <c r="A1" s="3" t="s">
        <v>32</v>
      </c>
      <c r="B1" s="3" t="s">
        <v>74</v>
      </c>
    </row>
    <row r="2" spans="1:2" x14ac:dyDescent="0.2">
      <c r="A2" s="3" t="s">
        <v>191</v>
      </c>
      <c r="B2" s="3" t="s">
        <v>208</v>
      </c>
    </row>
    <row r="3" spans="1:2" x14ac:dyDescent="0.2">
      <c r="A3" s="3" t="s">
        <v>17</v>
      </c>
      <c r="B3" s="3">
        <v>1</v>
      </c>
    </row>
    <row r="4" spans="1:2" x14ac:dyDescent="0.2">
      <c r="A4" s="3" t="s">
        <v>18</v>
      </c>
      <c r="B4" s="3" t="s">
        <v>19</v>
      </c>
    </row>
    <row r="5" spans="1:2" x14ac:dyDescent="0.2">
      <c r="A5" s="3" t="s">
        <v>20</v>
      </c>
      <c r="B5" s="3" t="s">
        <v>19</v>
      </c>
    </row>
    <row r="6" spans="1:2" x14ac:dyDescent="0.2">
      <c r="A6" s="3" t="s">
        <v>21</v>
      </c>
      <c r="B6" s="3" t="s">
        <v>22</v>
      </c>
    </row>
    <row r="7" spans="1:2" x14ac:dyDescent="0.2">
      <c r="A7" s="3" t="s">
        <v>23</v>
      </c>
      <c r="B7" s="3" t="s">
        <v>24</v>
      </c>
    </row>
    <row r="8" spans="1:2" x14ac:dyDescent="0.2">
      <c r="A8" s="3" t="s">
        <v>25</v>
      </c>
      <c r="B8" s="3" t="s">
        <v>26</v>
      </c>
    </row>
    <row r="9" spans="1:2" x14ac:dyDescent="0.2">
      <c r="A9" s="3" t="s">
        <v>27</v>
      </c>
      <c r="B9" s="3" t="s">
        <v>26</v>
      </c>
    </row>
    <row r="10" spans="1:2" x14ac:dyDescent="0.2">
      <c r="A10" s="3" t="s">
        <v>130</v>
      </c>
      <c r="B10" s="3" t="s">
        <v>29</v>
      </c>
    </row>
    <row r="11" spans="1:2" x14ac:dyDescent="0.2">
      <c r="A11" s="3"/>
      <c r="B11" s="3" t="s">
        <v>129</v>
      </c>
    </row>
    <row r="12" spans="1:2" x14ac:dyDescent="0.2">
      <c r="A12" s="3" t="s">
        <v>30</v>
      </c>
      <c r="B12" s="3" t="s">
        <v>31</v>
      </c>
    </row>
    <row r="13" spans="1:2" x14ac:dyDescent="0.2">
      <c r="A13" s="20" t="s">
        <v>85</v>
      </c>
      <c r="B13" s="20" t="s">
        <v>86</v>
      </c>
    </row>
    <row r="14" spans="1:2" x14ac:dyDescent="0.2">
      <c r="A14" s="20" t="s">
        <v>87</v>
      </c>
      <c r="B14" s="20" t="s">
        <v>88</v>
      </c>
    </row>
    <row r="15" spans="1:2" x14ac:dyDescent="0.2">
      <c r="A15" s="3"/>
      <c r="B15" s="20" t="s">
        <v>89</v>
      </c>
    </row>
    <row r="16" spans="1:2" x14ac:dyDescent="0.2">
      <c r="A16" s="20" t="s">
        <v>93</v>
      </c>
      <c r="B16" s="20" t="s">
        <v>131</v>
      </c>
    </row>
    <row r="17" spans="1:18" x14ac:dyDescent="0.2">
      <c r="A17" s="3"/>
      <c r="B17" s="20"/>
    </row>
    <row r="18" spans="1:18" x14ac:dyDescent="0.2">
      <c r="A18" s="3"/>
      <c r="B18" s="20"/>
    </row>
    <row r="19" spans="1:18" x14ac:dyDescent="0.2">
      <c r="A19" s="3"/>
      <c r="B19" s="3"/>
    </row>
    <row r="20" spans="1:18" x14ac:dyDescent="0.2">
      <c r="A20" s="3" t="s">
        <v>33</v>
      </c>
      <c r="B20" s="3"/>
      <c r="C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r="21" spans="1:18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18" x14ac:dyDescent="0.2">
      <c r="A22" s="3" t="s">
        <v>48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  <row r="23" spans="1:18" ht="19" x14ac:dyDescent="0.2">
      <c r="A23" s="3" t="s">
        <v>34</v>
      </c>
      <c r="B23" s="15">
        <v>1000</v>
      </c>
      <c r="C23" s="3" t="s">
        <v>35</v>
      </c>
      <c r="D23" s="3" t="s">
        <v>46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</row>
    <row r="24" spans="1:18" x14ac:dyDescent="0.2">
      <c r="A24" s="3" t="s">
        <v>36</v>
      </c>
      <c r="B24" s="15">
        <v>4</v>
      </c>
      <c r="C24" s="3" t="s">
        <v>37</v>
      </c>
      <c r="D24" s="3" t="s">
        <v>38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</row>
    <row r="25" spans="1:18" x14ac:dyDescent="0.2">
      <c r="A25" s="3" t="s">
        <v>39</v>
      </c>
      <c r="B25" s="15">
        <v>0.5</v>
      </c>
      <c r="C25" s="3" t="s">
        <v>40</v>
      </c>
      <c r="D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</row>
    <row r="26" spans="1:18" ht="19" x14ac:dyDescent="0.2">
      <c r="A26" s="3" t="s">
        <v>41</v>
      </c>
      <c r="B26" s="15">
        <v>10</v>
      </c>
      <c r="C26" s="3" t="s">
        <v>42</v>
      </c>
      <c r="D26" s="3" t="s">
        <v>47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</row>
    <row r="27" spans="1:18" x14ac:dyDescent="0.2">
      <c r="A27" s="18" t="s">
        <v>43</v>
      </c>
      <c r="B27" s="15">
        <v>10</v>
      </c>
      <c r="C27" s="3" t="s">
        <v>44</v>
      </c>
      <c r="D27" s="3" t="s">
        <v>45</v>
      </c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</row>
    <row r="28" spans="1:18" x14ac:dyDescent="0.2">
      <c r="A28" s="3" t="s">
        <v>49</v>
      </c>
      <c r="B28" s="15"/>
      <c r="C28" s="3"/>
      <c r="D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</row>
    <row r="29" spans="1:18" x14ac:dyDescent="0.2">
      <c r="A29" s="3" t="s">
        <v>50</v>
      </c>
      <c r="B29" s="15">
        <f>B24/B25</f>
        <v>8</v>
      </c>
      <c r="C29" s="3" t="s">
        <v>51</v>
      </c>
      <c r="D29" s="3" t="s">
        <v>38</v>
      </c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r="30" spans="1:18" x14ac:dyDescent="0.2">
      <c r="A30" s="3" t="s">
        <v>52</v>
      </c>
      <c r="B30" s="15">
        <f>B29/B26</f>
        <v>0.8</v>
      </c>
      <c r="C30" s="3"/>
      <c r="D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</row>
    <row r="31" spans="1:18" x14ac:dyDescent="0.2">
      <c r="A31" s="3" t="s">
        <v>73</v>
      </c>
      <c r="B31" s="3" t="str">
        <f>CONCATENATE("Concentation History for Observation Location at ",A36," (meters) Downgradient of Source")</f>
        <v>Concentation History for Observation Location at 100 (meters) Downgradient of Source</v>
      </c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</row>
    <row r="32" spans="1:18" x14ac:dyDescent="0.2">
      <c r="A32" s="3"/>
      <c r="B32" s="15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</row>
    <row r="33" spans="1:18" x14ac:dyDescent="0.2">
      <c r="A33" s="3"/>
      <c r="B33" s="15"/>
      <c r="C33" s="4"/>
      <c r="D33" s="5"/>
      <c r="E33" s="5" t="s">
        <v>53</v>
      </c>
      <c r="F33" s="5"/>
      <c r="G33" s="5"/>
      <c r="H33" s="6"/>
      <c r="I33" s="3" t="s">
        <v>71</v>
      </c>
      <c r="J33" s="3"/>
      <c r="K33" s="3"/>
      <c r="L33" s="4"/>
      <c r="M33" s="5"/>
      <c r="N33" s="5" t="s">
        <v>53</v>
      </c>
      <c r="O33" s="5"/>
      <c r="P33" s="5"/>
      <c r="Q33" s="6"/>
      <c r="R33" s="19" t="s">
        <v>72</v>
      </c>
    </row>
    <row r="34" spans="1:18" x14ac:dyDescent="0.2">
      <c r="A34" s="3" t="s">
        <v>54</v>
      </c>
      <c r="B34" s="15"/>
      <c r="C34" s="7" t="s">
        <v>55</v>
      </c>
      <c r="D34" s="8" t="s">
        <v>56</v>
      </c>
      <c r="E34" s="8" t="s">
        <v>57</v>
      </c>
      <c r="F34" s="8" t="s">
        <v>58</v>
      </c>
      <c r="G34" s="8" t="s">
        <v>59</v>
      </c>
      <c r="H34" s="9" t="s">
        <v>60</v>
      </c>
      <c r="I34" s="10" t="s">
        <v>61</v>
      </c>
      <c r="J34" s="3" t="s">
        <v>54</v>
      </c>
      <c r="K34" s="3"/>
      <c r="L34" s="7" t="s">
        <v>55</v>
      </c>
      <c r="M34" s="8" t="s">
        <v>56</v>
      </c>
      <c r="N34" s="8" t="s">
        <v>57</v>
      </c>
      <c r="O34" s="8" t="s">
        <v>58</v>
      </c>
      <c r="P34" s="8" t="s">
        <v>59</v>
      </c>
      <c r="Q34" s="9" t="s">
        <v>60</v>
      </c>
      <c r="R34" s="10" t="s">
        <v>61</v>
      </c>
    </row>
    <row r="35" spans="1:18" ht="85" x14ac:dyDescent="0.2">
      <c r="A35" s="17" t="s">
        <v>62</v>
      </c>
      <c r="B35" s="17" t="s">
        <v>63</v>
      </c>
      <c r="C35" s="12" t="s">
        <v>64</v>
      </c>
      <c r="D35" s="13" t="s">
        <v>65</v>
      </c>
      <c r="E35" s="13" t="s">
        <v>66</v>
      </c>
      <c r="F35" s="13" t="s">
        <v>67</v>
      </c>
      <c r="G35" s="13" t="s">
        <v>68</v>
      </c>
      <c r="H35" s="14" t="s">
        <v>69</v>
      </c>
      <c r="I35" s="11" t="s">
        <v>70</v>
      </c>
      <c r="J35" s="11" t="s">
        <v>62</v>
      </c>
      <c r="K35" s="11" t="s">
        <v>63</v>
      </c>
      <c r="L35" s="12" t="s">
        <v>64</v>
      </c>
      <c r="M35" s="13" t="s">
        <v>65</v>
      </c>
      <c r="N35" s="13" t="s">
        <v>66</v>
      </c>
      <c r="O35" s="13" t="s">
        <v>67</v>
      </c>
      <c r="P35" s="13" t="s">
        <v>68</v>
      </c>
      <c r="Q35" s="14" t="s">
        <v>69</v>
      </c>
      <c r="R35" s="11" t="s">
        <v>70</v>
      </c>
    </row>
    <row r="36" spans="1:18" x14ac:dyDescent="0.2">
      <c r="A36" s="15">
        <v>100</v>
      </c>
      <c r="B36" s="15">
        <v>9.9999999999999995E-7</v>
      </c>
      <c r="C36" s="3">
        <f t="shared" ref="C36:C65" si="0">A36-$B$29*B36</f>
        <v>99.999992000000006</v>
      </c>
      <c r="D36" s="3">
        <f t="shared" ref="D36:D65" si="1">A36+$B$29*B36</f>
        <v>100.00000799999999</v>
      </c>
      <c r="E36" s="3">
        <f>2*SQRT($B$26*B36)</f>
        <v>6.3245553203367588E-3</v>
      </c>
      <c r="F36">
        <f>ERFC(C36/E36)</f>
        <v>0</v>
      </c>
      <c r="G36">
        <f>ERFC(D36/E36)</f>
        <v>0</v>
      </c>
      <c r="H36">
        <f>EXP(A36*$B$30)</f>
        <v>5.5406223843935098E+34</v>
      </c>
      <c r="I36" s="3">
        <f>0.5*$B$23*(F36+H36*G36)-R36</f>
        <v>0</v>
      </c>
      <c r="J36" s="3">
        <f t="shared" ref="J36:J65" si="2">A36</f>
        <v>100</v>
      </c>
      <c r="K36" s="3">
        <f>IF(B36-$B$27&lt;=0,0,B36-$B$27)</f>
        <v>0</v>
      </c>
      <c r="L36" s="3">
        <f t="shared" ref="L36:L65" si="3">J36-$B$29*K36</f>
        <v>100</v>
      </c>
      <c r="M36" s="3">
        <f t="shared" ref="M36:M65" si="4">J36+$B$29*K36</f>
        <v>100</v>
      </c>
      <c r="N36" s="3">
        <f>2*SQRT($B$26*K36)</f>
        <v>0</v>
      </c>
      <c r="O36" t="e">
        <f>ERFC(L36/N36)</f>
        <v>#DIV/0!</v>
      </c>
      <c r="P36" t="e">
        <f>ERFC(M36/N36)</f>
        <v>#DIV/0!</v>
      </c>
      <c r="Q36">
        <f>EXP(J36*$B$30)</f>
        <v>5.5406223843935098E+34</v>
      </c>
      <c r="R36" s="3">
        <f>IF(K36&lt;=0,0,0.5*$B$23*(O36+Q36*P36))</f>
        <v>0</v>
      </c>
    </row>
    <row r="37" spans="1:18" x14ac:dyDescent="0.2">
      <c r="A37" s="15">
        <v>100</v>
      </c>
      <c r="B37" s="15">
        <f>B36+1</f>
        <v>1.0000009999999999</v>
      </c>
      <c r="C37" s="3">
        <f t="shared" si="0"/>
        <v>91.999992000000006</v>
      </c>
      <c r="D37" s="3">
        <f t="shared" si="1"/>
        <v>108.00000799999999</v>
      </c>
      <c r="E37" s="3">
        <f t="shared" ref="E37:E65" si="5">2*SQRT($B$26*B37)</f>
        <v>6.3245584826136279</v>
      </c>
      <c r="F37">
        <f t="shared" ref="F37:F46" si="6">ERFC(C37/E37)</f>
        <v>4.9095622464318054E-94</v>
      </c>
      <c r="G37">
        <f t="shared" ref="G37:G46" si="7">ERFC(D37/E37)</f>
        <v>7.5531295605013254E-129</v>
      </c>
      <c r="H37">
        <f t="shared" ref="H37:H46" si="8">EXP(A37*$B$30)</f>
        <v>5.5406223843935098E+34</v>
      </c>
      <c r="I37" s="3">
        <f t="shared" ref="I37:I65" si="9">0.5*$B$23*(F37+H37*G37)-R37</f>
        <v>4.5472330589728006E-91</v>
      </c>
      <c r="J37" s="3">
        <f t="shared" si="2"/>
        <v>100</v>
      </c>
      <c r="K37" s="3">
        <f t="shared" ref="K37:K65" si="10">IF(B37-$B$27&lt;=0,0,B37-$B$27)</f>
        <v>0</v>
      </c>
      <c r="L37" s="3">
        <f t="shared" si="3"/>
        <v>100</v>
      </c>
      <c r="M37" s="3">
        <f t="shared" si="4"/>
        <v>100</v>
      </c>
      <c r="N37" s="3">
        <f t="shared" ref="N37:N65" si="11">2*SQRT($B$26*K37)</f>
        <v>0</v>
      </c>
      <c r="O37" t="e">
        <f t="shared" ref="O37:O50" si="12">ERFC(L37/N37)</f>
        <v>#DIV/0!</v>
      </c>
      <c r="P37" t="e">
        <f t="shared" ref="P37:P50" si="13">ERFC(M37/N37)</f>
        <v>#DIV/0!</v>
      </c>
      <c r="Q37">
        <f t="shared" ref="Q37:Q50" si="14">EXP(J37*$B$30)</f>
        <v>5.5406223843935098E+34</v>
      </c>
      <c r="R37" s="3">
        <f t="shared" ref="R37:R65" si="15">IF(K37&lt;=0,0,0.5*$B$23*(O37+Q37*P37))</f>
        <v>0</v>
      </c>
    </row>
    <row r="38" spans="1:18" x14ac:dyDescent="0.2">
      <c r="A38" s="15">
        <v>100</v>
      </c>
      <c r="B38" s="15">
        <f t="shared" ref="B38:B65" si="16">B37+1</f>
        <v>2.0000010000000001</v>
      </c>
      <c r="C38" s="3">
        <f t="shared" si="0"/>
        <v>83.999991999999992</v>
      </c>
      <c r="D38" s="3">
        <f t="shared" si="1"/>
        <v>116.00000800000001</v>
      </c>
      <c r="E38" s="3">
        <f t="shared" si="5"/>
        <v>8.9442741460668582</v>
      </c>
      <c r="F38">
        <f t="shared" si="6"/>
        <v>2.9615292820828008E-40</v>
      </c>
      <c r="G38">
        <f t="shared" si="7"/>
        <v>3.8808350927726854E-75</v>
      </c>
      <c r="H38">
        <f t="shared" si="8"/>
        <v>5.5406223843935098E+34</v>
      </c>
      <c r="I38" s="3">
        <f t="shared" si="9"/>
        <v>2.5558767302992109E-37</v>
      </c>
      <c r="J38" s="3">
        <f t="shared" si="2"/>
        <v>100</v>
      </c>
      <c r="K38" s="3">
        <f t="shared" si="10"/>
        <v>0</v>
      </c>
      <c r="L38" s="3">
        <f t="shared" si="3"/>
        <v>100</v>
      </c>
      <c r="M38" s="3">
        <f t="shared" si="4"/>
        <v>100</v>
      </c>
      <c r="N38" s="3">
        <f t="shared" si="11"/>
        <v>0</v>
      </c>
      <c r="O38" t="e">
        <f t="shared" si="12"/>
        <v>#DIV/0!</v>
      </c>
      <c r="P38" t="e">
        <f t="shared" si="13"/>
        <v>#DIV/0!</v>
      </c>
      <c r="Q38">
        <f t="shared" si="14"/>
        <v>5.5406223843935098E+34</v>
      </c>
      <c r="R38" s="3">
        <f t="shared" si="15"/>
        <v>0</v>
      </c>
    </row>
    <row r="39" spans="1:18" x14ac:dyDescent="0.2">
      <c r="A39" s="15">
        <v>100</v>
      </c>
      <c r="B39" s="15">
        <f t="shared" si="16"/>
        <v>3.0000010000000001</v>
      </c>
      <c r="C39" s="3">
        <f t="shared" si="0"/>
        <v>75.999991999999992</v>
      </c>
      <c r="D39" s="3">
        <f t="shared" si="1"/>
        <v>124.00000800000001</v>
      </c>
      <c r="E39" s="3">
        <f t="shared" si="5"/>
        <v>10.95445297584503</v>
      </c>
      <c r="F39">
        <f t="shared" si="6"/>
        <v>1.0040901563555061E-22</v>
      </c>
      <c r="G39">
        <f t="shared" si="7"/>
        <v>1.1177053384150889E-57</v>
      </c>
      <c r="H39">
        <f t="shared" si="8"/>
        <v>5.5406223843935098E+34</v>
      </c>
      <c r="I39" s="3">
        <f t="shared" si="9"/>
        <v>8.1168423903669119E-20</v>
      </c>
      <c r="J39" s="3">
        <f t="shared" si="2"/>
        <v>100</v>
      </c>
      <c r="K39" s="3">
        <f t="shared" si="10"/>
        <v>0</v>
      </c>
      <c r="L39" s="3">
        <f t="shared" si="3"/>
        <v>100</v>
      </c>
      <c r="M39" s="3">
        <f t="shared" si="4"/>
        <v>100</v>
      </c>
      <c r="N39" s="3">
        <f t="shared" si="11"/>
        <v>0</v>
      </c>
      <c r="O39" t="e">
        <f t="shared" si="12"/>
        <v>#DIV/0!</v>
      </c>
      <c r="P39" t="e">
        <f t="shared" si="13"/>
        <v>#DIV/0!</v>
      </c>
      <c r="Q39">
        <f t="shared" si="14"/>
        <v>5.5406223843935098E+34</v>
      </c>
      <c r="R39" s="3">
        <f t="shared" si="15"/>
        <v>0</v>
      </c>
    </row>
    <row r="40" spans="1:18" x14ac:dyDescent="0.2">
      <c r="A40" s="15">
        <v>100</v>
      </c>
      <c r="B40" s="15">
        <f t="shared" si="16"/>
        <v>4.0000010000000001</v>
      </c>
      <c r="C40" s="3">
        <f t="shared" si="0"/>
        <v>67.999991999999992</v>
      </c>
      <c r="D40" s="3">
        <f t="shared" si="1"/>
        <v>132.00000800000001</v>
      </c>
      <c r="E40" s="3">
        <f t="shared" si="5"/>
        <v>12.649112221812249</v>
      </c>
      <c r="F40">
        <f t="shared" si="6"/>
        <v>2.9017385907503209E-14</v>
      </c>
      <c r="G40">
        <f t="shared" si="7"/>
        <v>2.7307160521110304E-49</v>
      </c>
      <c r="H40">
        <f t="shared" si="8"/>
        <v>5.5406223843935098E+34</v>
      </c>
      <c r="I40" s="3">
        <f t="shared" si="9"/>
        <v>2.2073626195626131E-11</v>
      </c>
      <c r="J40" s="3">
        <f t="shared" si="2"/>
        <v>100</v>
      </c>
      <c r="K40" s="3">
        <f t="shared" si="10"/>
        <v>0</v>
      </c>
      <c r="L40" s="3">
        <f t="shared" si="3"/>
        <v>100</v>
      </c>
      <c r="M40" s="3">
        <f t="shared" si="4"/>
        <v>100</v>
      </c>
      <c r="N40" s="3">
        <f t="shared" si="11"/>
        <v>0</v>
      </c>
      <c r="O40" t="e">
        <f t="shared" si="12"/>
        <v>#DIV/0!</v>
      </c>
      <c r="P40" t="e">
        <f t="shared" si="13"/>
        <v>#DIV/0!</v>
      </c>
      <c r="Q40">
        <f t="shared" si="14"/>
        <v>5.5406223843935098E+34</v>
      </c>
      <c r="R40" s="3">
        <f t="shared" si="15"/>
        <v>0</v>
      </c>
    </row>
    <row r="41" spans="1:18" x14ac:dyDescent="0.2">
      <c r="A41" s="15">
        <v>100</v>
      </c>
      <c r="B41" s="15">
        <f t="shared" si="16"/>
        <v>5.0000010000000001</v>
      </c>
      <c r="C41" s="3">
        <f t="shared" si="0"/>
        <v>59.999991999999999</v>
      </c>
      <c r="D41" s="3">
        <f t="shared" si="1"/>
        <v>140.00000800000001</v>
      </c>
      <c r="E41" s="3">
        <f t="shared" si="5"/>
        <v>14.142137037944442</v>
      </c>
      <c r="F41">
        <f t="shared" si="6"/>
        <v>1.9731923026167662E-9</v>
      </c>
      <c r="G41">
        <f t="shared" si="7"/>
        <v>1.5587205231696829E-44</v>
      </c>
      <c r="H41">
        <f t="shared" si="8"/>
        <v>5.5406223843935098E+34</v>
      </c>
      <c r="I41" s="3">
        <f t="shared" si="9"/>
        <v>1.4184102423927585E-6</v>
      </c>
      <c r="J41" s="3">
        <f t="shared" si="2"/>
        <v>100</v>
      </c>
      <c r="K41" s="3">
        <f t="shared" si="10"/>
        <v>0</v>
      </c>
      <c r="L41" s="3">
        <f t="shared" si="3"/>
        <v>100</v>
      </c>
      <c r="M41" s="3">
        <f t="shared" si="4"/>
        <v>100</v>
      </c>
      <c r="N41" s="3">
        <f t="shared" si="11"/>
        <v>0</v>
      </c>
      <c r="O41" t="e">
        <f t="shared" si="12"/>
        <v>#DIV/0!</v>
      </c>
      <c r="P41" t="e">
        <f t="shared" si="13"/>
        <v>#DIV/0!</v>
      </c>
      <c r="Q41">
        <f t="shared" si="14"/>
        <v>5.5406223843935098E+34</v>
      </c>
      <c r="R41" s="3">
        <f t="shared" si="15"/>
        <v>0</v>
      </c>
    </row>
    <row r="42" spans="1:18" x14ac:dyDescent="0.2">
      <c r="A42" s="15">
        <v>100</v>
      </c>
      <c r="B42" s="15">
        <f t="shared" si="16"/>
        <v>6.0000010000000001</v>
      </c>
      <c r="C42" s="3">
        <f t="shared" si="0"/>
        <v>51.999991999999999</v>
      </c>
      <c r="D42" s="3">
        <f t="shared" si="1"/>
        <v>148.00000800000001</v>
      </c>
      <c r="E42" s="3">
        <f t="shared" si="5"/>
        <v>15.491934675824062</v>
      </c>
      <c r="F42">
        <f t="shared" si="6"/>
        <v>2.0652972877093329E-6</v>
      </c>
      <c r="G42">
        <f t="shared" si="7"/>
        <v>1.3561697884459353E-41</v>
      </c>
      <c r="H42">
        <f t="shared" si="8"/>
        <v>5.5406223843935098E+34</v>
      </c>
      <c r="I42" s="3">
        <f t="shared" si="9"/>
        <v>1.4083498781997546E-3</v>
      </c>
      <c r="J42" s="3">
        <f t="shared" si="2"/>
        <v>100</v>
      </c>
      <c r="K42" s="3">
        <f t="shared" si="10"/>
        <v>0</v>
      </c>
      <c r="L42" s="3">
        <f t="shared" si="3"/>
        <v>100</v>
      </c>
      <c r="M42" s="3">
        <f t="shared" si="4"/>
        <v>100</v>
      </c>
      <c r="N42" s="3">
        <f t="shared" si="11"/>
        <v>0</v>
      </c>
      <c r="O42" t="e">
        <f t="shared" si="12"/>
        <v>#DIV/0!</v>
      </c>
      <c r="P42" t="e">
        <f t="shared" si="13"/>
        <v>#DIV/0!</v>
      </c>
      <c r="Q42">
        <f t="shared" si="14"/>
        <v>5.5406223843935098E+34</v>
      </c>
      <c r="R42" s="3">
        <f t="shared" si="15"/>
        <v>0</v>
      </c>
    </row>
    <row r="43" spans="1:18" x14ac:dyDescent="0.2">
      <c r="A43" s="15">
        <v>100</v>
      </c>
      <c r="B43" s="15">
        <f t="shared" si="16"/>
        <v>7.0000010000000001</v>
      </c>
      <c r="C43" s="3">
        <f t="shared" si="0"/>
        <v>43.999991999999999</v>
      </c>
      <c r="D43" s="3">
        <f t="shared" si="1"/>
        <v>156.00000800000001</v>
      </c>
      <c r="E43" s="3">
        <f t="shared" si="5"/>
        <v>16.733201725910078</v>
      </c>
      <c r="F43">
        <f t="shared" si="6"/>
        <v>2.0026832142990778E-4</v>
      </c>
      <c r="G43">
        <f t="shared" si="7"/>
        <v>1.0790035452632152E-39</v>
      </c>
      <c r="H43">
        <f t="shared" si="8"/>
        <v>5.5406223843935098E+34</v>
      </c>
      <c r="I43" s="3">
        <f t="shared" si="9"/>
        <v>0.13002591669358052</v>
      </c>
      <c r="J43" s="3">
        <f t="shared" si="2"/>
        <v>100</v>
      </c>
      <c r="K43" s="3">
        <f t="shared" si="10"/>
        <v>0</v>
      </c>
      <c r="L43" s="3">
        <f t="shared" si="3"/>
        <v>100</v>
      </c>
      <c r="M43" s="3">
        <f t="shared" si="4"/>
        <v>100</v>
      </c>
      <c r="N43" s="3">
        <f t="shared" si="11"/>
        <v>0</v>
      </c>
      <c r="O43" t="e">
        <f t="shared" si="12"/>
        <v>#DIV/0!</v>
      </c>
      <c r="P43" t="e">
        <f t="shared" si="13"/>
        <v>#DIV/0!</v>
      </c>
      <c r="Q43">
        <f t="shared" si="14"/>
        <v>5.5406223843935098E+34</v>
      </c>
      <c r="R43" s="3">
        <f t="shared" si="15"/>
        <v>0</v>
      </c>
    </row>
    <row r="44" spans="1:18" x14ac:dyDescent="0.2">
      <c r="A44" s="15">
        <v>100</v>
      </c>
      <c r="B44" s="15">
        <f t="shared" si="16"/>
        <v>8.000001000000001</v>
      </c>
      <c r="C44" s="3">
        <f t="shared" si="0"/>
        <v>35.999991999999992</v>
      </c>
      <c r="D44" s="3">
        <f t="shared" si="1"/>
        <v>164.00000800000001</v>
      </c>
      <c r="E44" s="3">
        <f t="shared" si="5"/>
        <v>17.888544938032272</v>
      </c>
      <c r="F44">
        <f t="shared" si="6"/>
        <v>4.4265371224155624E-3</v>
      </c>
      <c r="G44">
        <f t="shared" si="7"/>
        <v>1.9237994693125926E-38</v>
      </c>
      <c r="H44">
        <f t="shared" si="8"/>
        <v>5.5406223843935098E+34</v>
      </c>
      <c r="I44" s="3">
        <f t="shared" si="9"/>
        <v>2.7462208813456663</v>
      </c>
      <c r="J44" s="3">
        <f t="shared" si="2"/>
        <v>100</v>
      </c>
      <c r="K44" s="3">
        <f t="shared" si="10"/>
        <v>0</v>
      </c>
      <c r="L44" s="3">
        <f t="shared" si="3"/>
        <v>100</v>
      </c>
      <c r="M44" s="3">
        <f t="shared" si="4"/>
        <v>100</v>
      </c>
      <c r="N44" s="3">
        <f t="shared" si="11"/>
        <v>0</v>
      </c>
      <c r="O44" t="e">
        <f t="shared" si="12"/>
        <v>#DIV/0!</v>
      </c>
      <c r="P44" t="e">
        <f t="shared" si="13"/>
        <v>#DIV/0!</v>
      </c>
      <c r="Q44">
        <f t="shared" si="14"/>
        <v>5.5406223843935098E+34</v>
      </c>
      <c r="R44" s="3">
        <f t="shared" si="15"/>
        <v>0</v>
      </c>
    </row>
    <row r="45" spans="1:18" x14ac:dyDescent="0.2">
      <c r="A45" s="15">
        <v>100</v>
      </c>
      <c r="B45" s="15">
        <f t="shared" si="16"/>
        <v>9.000001000000001</v>
      </c>
      <c r="C45" s="3">
        <f t="shared" si="0"/>
        <v>27.999991999999992</v>
      </c>
      <c r="D45" s="3">
        <f t="shared" si="1"/>
        <v>172.00000800000001</v>
      </c>
      <c r="E45" s="3">
        <f t="shared" si="5"/>
        <v>18.973667015102802</v>
      </c>
      <c r="F45">
        <f t="shared" si="6"/>
        <v>3.6888490088859006E-2</v>
      </c>
      <c r="G45">
        <f t="shared" si="7"/>
        <v>1.264997656880511E-37</v>
      </c>
      <c r="H45">
        <f t="shared" si="8"/>
        <v>5.5406223843935098E+34</v>
      </c>
      <c r="I45" s="3">
        <f t="shared" si="9"/>
        <v>21.948682211388252</v>
      </c>
      <c r="J45" s="3">
        <f t="shared" si="2"/>
        <v>100</v>
      </c>
      <c r="K45" s="3">
        <f t="shared" si="10"/>
        <v>0</v>
      </c>
      <c r="L45" s="3">
        <f t="shared" si="3"/>
        <v>100</v>
      </c>
      <c r="M45" s="3">
        <f t="shared" si="4"/>
        <v>100</v>
      </c>
      <c r="N45" s="3">
        <f t="shared" si="11"/>
        <v>0</v>
      </c>
      <c r="O45" t="e">
        <f t="shared" si="12"/>
        <v>#DIV/0!</v>
      </c>
      <c r="P45" t="e">
        <f t="shared" si="13"/>
        <v>#DIV/0!</v>
      </c>
      <c r="Q45">
        <f t="shared" si="14"/>
        <v>5.5406223843935098E+34</v>
      </c>
      <c r="R45" s="3">
        <f t="shared" si="15"/>
        <v>0</v>
      </c>
    </row>
    <row r="46" spans="1:18" x14ac:dyDescent="0.2">
      <c r="A46" s="15">
        <v>100</v>
      </c>
      <c r="B46" s="15">
        <f t="shared" si="16"/>
        <v>10.000001000000001</v>
      </c>
      <c r="C46" s="3">
        <f t="shared" si="0"/>
        <v>19.999991999999992</v>
      </c>
      <c r="D46" s="3">
        <f t="shared" si="1"/>
        <v>180.00000800000001</v>
      </c>
      <c r="E46" s="3">
        <f t="shared" si="5"/>
        <v>20.000000999999976</v>
      </c>
      <c r="F46">
        <f t="shared" si="6"/>
        <v>0.15729939384873337</v>
      </c>
      <c r="G46">
        <f t="shared" si="7"/>
        <v>4.1370354925511709E-37</v>
      </c>
      <c r="H46">
        <f t="shared" si="8"/>
        <v>5.5406223843935098E+34</v>
      </c>
      <c r="I46" s="3">
        <f t="shared" si="9"/>
        <v>90.110572651896405</v>
      </c>
      <c r="J46" s="3">
        <f t="shared" si="2"/>
        <v>100</v>
      </c>
      <c r="K46" s="3">
        <f t="shared" si="10"/>
        <v>1.0000000010279564E-6</v>
      </c>
      <c r="L46" s="3">
        <f t="shared" si="3"/>
        <v>99.999991999999992</v>
      </c>
      <c r="M46" s="3">
        <f t="shared" si="4"/>
        <v>100.00000800000001</v>
      </c>
      <c r="N46" s="3">
        <f t="shared" si="11"/>
        <v>6.3245553235874424E-3</v>
      </c>
      <c r="O46">
        <f t="shared" si="12"/>
        <v>0</v>
      </c>
      <c r="P46">
        <f t="shared" si="13"/>
        <v>0</v>
      </c>
      <c r="Q46">
        <f t="shared" si="14"/>
        <v>5.5406223843935098E+34</v>
      </c>
      <c r="R46" s="3">
        <f t="shared" si="15"/>
        <v>0</v>
      </c>
    </row>
    <row r="47" spans="1:18" x14ac:dyDescent="0.2">
      <c r="A47" s="15">
        <v>100</v>
      </c>
      <c r="B47" s="15">
        <f t="shared" si="16"/>
        <v>11.000001000000001</v>
      </c>
      <c r="C47" s="3">
        <f t="shared" si="0"/>
        <v>11.999991999999992</v>
      </c>
      <c r="D47" s="3">
        <f t="shared" si="1"/>
        <v>188.00000800000001</v>
      </c>
      <c r="E47" s="3">
        <f t="shared" si="5"/>
        <v>20.976177916865598</v>
      </c>
      <c r="F47">
        <f t="shared" ref="F47:F65" si="17">ERFC(C47/E47)</f>
        <v>0.41849256483058733</v>
      </c>
      <c r="G47">
        <f t="shared" ref="G47:G65" si="18">ERFC(D47/E47)</f>
        <v>8.1402925343836458E-37</v>
      </c>
      <c r="H47">
        <f t="shared" ref="H47:H65" si="19">EXP(A47*$B$30)</f>
        <v>5.5406223843935098E+34</v>
      </c>
      <c r="I47" s="3">
        <f t="shared" si="9"/>
        <v>231.79742593105237</v>
      </c>
      <c r="J47" s="3">
        <f t="shared" si="2"/>
        <v>100</v>
      </c>
      <c r="K47" s="3">
        <f t="shared" si="10"/>
        <v>1.000001000000001</v>
      </c>
      <c r="L47" s="3">
        <f t="shared" si="3"/>
        <v>91.999991999999992</v>
      </c>
      <c r="M47" s="3">
        <f t="shared" si="4"/>
        <v>108.00000800000001</v>
      </c>
      <c r="N47" s="3">
        <f t="shared" si="11"/>
        <v>6.3245584826136314</v>
      </c>
      <c r="O47">
        <f t="shared" si="12"/>
        <v>4.9095622464333436E-94</v>
      </c>
      <c r="P47">
        <f t="shared" si="13"/>
        <v>7.5531295605034742E-129</v>
      </c>
      <c r="Q47">
        <f t="shared" si="14"/>
        <v>5.5406223843935098E+34</v>
      </c>
      <c r="R47" s="3">
        <f t="shared" si="15"/>
        <v>4.5472330589741648E-91</v>
      </c>
    </row>
    <row r="48" spans="1:18" x14ac:dyDescent="0.2">
      <c r="A48" s="15">
        <v>100</v>
      </c>
      <c r="B48" s="15">
        <f t="shared" si="16"/>
        <v>12.000001000000001</v>
      </c>
      <c r="C48" s="3">
        <f t="shared" si="0"/>
        <v>3.9999919999999918</v>
      </c>
      <c r="D48" s="3">
        <f t="shared" si="1"/>
        <v>196.00000800000001</v>
      </c>
      <c r="E48" s="3">
        <f t="shared" si="5"/>
        <v>21.908903213077554</v>
      </c>
      <c r="F48">
        <f t="shared" si="17"/>
        <v>0.79625382155811109</v>
      </c>
      <c r="G48">
        <f t="shared" si="18"/>
        <v>1.0941643257439601E-36</v>
      </c>
      <c r="H48">
        <f t="shared" si="19"/>
        <v>5.5406223843935098E+34</v>
      </c>
      <c r="I48" s="3">
        <f t="shared" si="9"/>
        <v>428.4386675561646</v>
      </c>
      <c r="J48" s="3">
        <f t="shared" si="2"/>
        <v>100</v>
      </c>
      <c r="K48" s="3">
        <f t="shared" si="10"/>
        <v>2.000001000000001</v>
      </c>
      <c r="L48" s="3">
        <f t="shared" si="3"/>
        <v>83.999991999999992</v>
      </c>
      <c r="M48" s="3">
        <f t="shared" si="4"/>
        <v>116.00000800000001</v>
      </c>
      <c r="N48" s="3">
        <f t="shared" si="11"/>
        <v>8.9442741460668582</v>
      </c>
      <c r="O48">
        <f t="shared" si="12"/>
        <v>2.9615292820828008E-40</v>
      </c>
      <c r="P48">
        <f t="shared" si="13"/>
        <v>3.8808350927726854E-75</v>
      </c>
      <c r="Q48">
        <f t="shared" si="14"/>
        <v>5.5406223843935098E+34</v>
      </c>
      <c r="R48" s="3">
        <f t="shared" si="15"/>
        <v>2.5558767302992109E-37</v>
      </c>
    </row>
    <row r="49" spans="1:18" x14ac:dyDescent="0.2">
      <c r="A49" s="15">
        <v>100</v>
      </c>
      <c r="B49" s="15">
        <f t="shared" si="16"/>
        <v>13.000001000000001</v>
      </c>
      <c r="C49" s="3">
        <f t="shared" si="0"/>
        <v>-4.0000080000000082</v>
      </c>
      <c r="D49" s="3">
        <f t="shared" si="1"/>
        <v>204.00000800000001</v>
      </c>
      <c r="E49" s="3">
        <f t="shared" si="5"/>
        <v>22.803509379040761</v>
      </c>
      <c r="F49">
        <f t="shared" si="17"/>
        <v>1.1959197190126745</v>
      </c>
      <c r="G49">
        <f t="shared" si="18"/>
        <v>1.0969905515517939E-36</v>
      </c>
      <c r="H49">
        <f t="shared" si="19"/>
        <v>5.5406223843935098E+34</v>
      </c>
      <c r="I49" s="3">
        <f t="shared" si="9"/>
        <v>628.3499115333176</v>
      </c>
      <c r="J49" s="3">
        <f t="shared" si="2"/>
        <v>100</v>
      </c>
      <c r="K49" s="3">
        <f t="shared" si="10"/>
        <v>3.000001000000001</v>
      </c>
      <c r="L49" s="3">
        <f t="shared" si="3"/>
        <v>75.999991999999992</v>
      </c>
      <c r="M49" s="3">
        <f t="shared" si="4"/>
        <v>124.00000800000001</v>
      </c>
      <c r="N49" s="3">
        <f t="shared" si="11"/>
        <v>10.95445297584503</v>
      </c>
      <c r="O49">
        <f t="shared" si="12"/>
        <v>1.0040901563555061E-22</v>
      </c>
      <c r="P49">
        <f t="shared" si="13"/>
        <v>1.1177053384150889E-57</v>
      </c>
      <c r="Q49">
        <f t="shared" si="14"/>
        <v>5.5406223843935098E+34</v>
      </c>
      <c r="R49" s="3">
        <f t="shared" si="15"/>
        <v>8.1168423903669119E-20</v>
      </c>
    </row>
    <row r="50" spans="1:18" x14ac:dyDescent="0.2">
      <c r="A50" s="15">
        <v>100</v>
      </c>
      <c r="B50" s="15">
        <f t="shared" si="16"/>
        <v>14.000001000000001</v>
      </c>
      <c r="C50" s="3">
        <f t="shared" si="0"/>
        <v>-12.000008000000008</v>
      </c>
      <c r="D50" s="3">
        <f t="shared" si="1"/>
        <v>212.00000800000001</v>
      </c>
      <c r="E50" s="3">
        <f t="shared" si="5"/>
        <v>23.664319977552704</v>
      </c>
      <c r="F50">
        <f t="shared" si="17"/>
        <v>1.5267108137862588</v>
      </c>
      <c r="G50">
        <f t="shared" si="18"/>
        <v>8.735425298163061E-37</v>
      </c>
      <c r="H50">
        <f t="shared" si="19"/>
        <v>5.5406223843935098E+34</v>
      </c>
      <c r="I50" s="3">
        <f t="shared" si="9"/>
        <v>787.55525336520714</v>
      </c>
      <c r="J50" s="3">
        <f t="shared" si="2"/>
        <v>100</v>
      </c>
      <c r="K50" s="3">
        <f t="shared" si="10"/>
        <v>4.000001000000001</v>
      </c>
      <c r="L50" s="3">
        <f t="shared" si="3"/>
        <v>67.999991999999992</v>
      </c>
      <c r="M50" s="3">
        <f t="shared" si="4"/>
        <v>132.00000800000001</v>
      </c>
      <c r="N50" s="3">
        <f t="shared" si="11"/>
        <v>12.649112221812251</v>
      </c>
      <c r="O50">
        <f t="shared" si="12"/>
        <v>2.9017385907503543E-14</v>
      </c>
      <c r="P50">
        <f t="shared" si="13"/>
        <v>2.7307160521111482E-49</v>
      </c>
      <c r="Q50">
        <f t="shared" si="14"/>
        <v>5.5406223843935098E+34</v>
      </c>
      <c r="R50" s="3">
        <f t="shared" si="15"/>
        <v>2.2073626195626622E-11</v>
      </c>
    </row>
    <row r="51" spans="1:18" x14ac:dyDescent="0.2">
      <c r="A51" s="15">
        <v>100</v>
      </c>
      <c r="B51" s="15">
        <f t="shared" si="16"/>
        <v>15.000001000000001</v>
      </c>
      <c r="C51" s="3">
        <f t="shared" si="0"/>
        <v>-20.000008000000008</v>
      </c>
      <c r="D51" s="3">
        <f t="shared" si="1"/>
        <v>220.00000800000001</v>
      </c>
      <c r="E51" s="3">
        <f t="shared" si="5"/>
        <v>24.494898244328347</v>
      </c>
      <c r="F51">
        <f t="shared" si="17"/>
        <v>1.7517870944508038</v>
      </c>
      <c r="G51">
        <f t="shared" si="18"/>
        <v>5.7854636737432838E-37</v>
      </c>
      <c r="H51">
        <f t="shared" si="19"/>
        <v>5.5406223843935098E+34</v>
      </c>
      <c r="I51" s="3">
        <f t="shared" si="9"/>
        <v>891.92108057441055</v>
      </c>
      <c r="J51" s="3">
        <f t="shared" si="2"/>
        <v>100</v>
      </c>
      <c r="K51" s="3">
        <f t="shared" si="10"/>
        <v>5.000001000000001</v>
      </c>
      <c r="L51" s="3">
        <f t="shared" si="3"/>
        <v>59.999991999999992</v>
      </c>
      <c r="M51" s="3">
        <f t="shared" si="4"/>
        <v>140.00000800000001</v>
      </c>
      <c r="N51" s="3">
        <f t="shared" si="11"/>
        <v>14.142137037944444</v>
      </c>
      <c r="O51">
        <f t="shared" ref="O51:O65" si="20">ERFC(L51/N51)</f>
        <v>1.9731923026167803E-9</v>
      </c>
      <c r="P51">
        <f t="shared" ref="P51:P65" si="21">ERFC(M51/N51)</f>
        <v>1.5587205231696829E-44</v>
      </c>
      <c r="Q51">
        <f t="shared" ref="Q51:Q65" si="22">EXP(J51*$B$30)</f>
        <v>5.5406223843935098E+34</v>
      </c>
      <c r="R51" s="3">
        <f t="shared" si="15"/>
        <v>1.4184102423927655E-6</v>
      </c>
    </row>
    <row r="52" spans="1:18" x14ac:dyDescent="0.2">
      <c r="A52" s="15">
        <v>100</v>
      </c>
      <c r="B52" s="15">
        <f t="shared" si="16"/>
        <v>16.000001000000001</v>
      </c>
      <c r="C52" s="3">
        <f t="shared" si="0"/>
        <v>-28.000008000000008</v>
      </c>
      <c r="D52" s="3">
        <f t="shared" si="1"/>
        <v>228.00000800000001</v>
      </c>
      <c r="E52" s="3">
        <f t="shared" si="5"/>
        <v>25.298222071916438</v>
      </c>
      <c r="F52">
        <f t="shared" si="17"/>
        <v>1.8824752252586767</v>
      </c>
      <c r="G52">
        <f t="shared" si="18"/>
        <v>3.2989609839708508E-37</v>
      </c>
      <c r="H52">
        <f t="shared" si="19"/>
        <v>5.5406223843935098E+34</v>
      </c>
      <c r="I52" s="3">
        <f t="shared" si="9"/>
        <v>950.37535281597513</v>
      </c>
      <c r="J52" s="3">
        <f t="shared" si="2"/>
        <v>100</v>
      </c>
      <c r="K52" s="3">
        <f t="shared" si="10"/>
        <v>6.000001000000001</v>
      </c>
      <c r="L52" s="3">
        <f t="shared" si="3"/>
        <v>51.999991999999992</v>
      </c>
      <c r="M52" s="3">
        <f t="shared" si="4"/>
        <v>148.00000800000001</v>
      </c>
      <c r="N52" s="3">
        <f t="shared" si="11"/>
        <v>15.491934675824064</v>
      </c>
      <c r="O52">
        <f t="shared" si="20"/>
        <v>2.0652972877093481E-6</v>
      </c>
      <c r="P52">
        <f t="shared" si="21"/>
        <v>1.3561697884459353E-41</v>
      </c>
      <c r="Q52">
        <f t="shared" si="22"/>
        <v>5.5406223843935098E+34</v>
      </c>
      <c r="R52" s="3">
        <f t="shared" si="15"/>
        <v>1.4083498781997622E-3</v>
      </c>
    </row>
    <row r="53" spans="1:18" x14ac:dyDescent="0.2">
      <c r="A53" s="15">
        <v>100</v>
      </c>
      <c r="B53" s="15">
        <f t="shared" si="16"/>
        <v>17.000001000000001</v>
      </c>
      <c r="C53" s="3">
        <f t="shared" si="0"/>
        <v>-36.000008000000008</v>
      </c>
      <c r="D53" s="3">
        <f t="shared" si="1"/>
        <v>236.00000800000001</v>
      </c>
      <c r="E53" s="3">
        <f t="shared" si="5"/>
        <v>26.076810387775573</v>
      </c>
      <c r="F53">
        <f t="shared" si="17"/>
        <v>1.9491062413627604</v>
      </c>
      <c r="G53">
        <f t="shared" si="18"/>
        <v>1.6629629262317649E-37</v>
      </c>
      <c r="H53">
        <f t="shared" si="19"/>
        <v>5.5406223843935098E+34</v>
      </c>
      <c r="I53" s="3">
        <f t="shared" si="9"/>
        <v>979.03001957143476</v>
      </c>
      <c r="J53" s="3">
        <f t="shared" si="2"/>
        <v>100</v>
      </c>
      <c r="K53" s="3">
        <f t="shared" si="10"/>
        <v>7.000001000000001</v>
      </c>
      <c r="L53" s="3">
        <f t="shared" si="3"/>
        <v>43.999991999999992</v>
      </c>
      <c r="M53" s="3">
        <f t="shared" si="4"/>
        <v>156.00000800000001</v>
      </c>
      <c r="N53" s="3">
        <f t="shared" si="11"/>
        <v>16.733201725910078</v>
      </c>
      <c r="O53">
        <f t="shared" si="20"/>
        <v>2.0026832142990835E-4</v>
      </c>
      <c r="P53">
        <f t="shared" si="21"/>
        <v>1.0790035452632152E-39</v>
      </c>
      <c r="Q53">
        <f t="shared" si="22"/>
        <v>5.5406223843935098E+34</v>
      </c>
      <c r="R53" s="3">
        <f t="shared" si="15"/>
        <v>0.1300259166935808</v>
      </c>
    </row>
    <row r="54" spans="1:18" x14ac:dyDescent="0.2">
      <c r="A54" s="15">
        <v>100</v>
      </c>
      <c r="B54" s="15">
        <f t="shared" si="16"/>
        <v>18.000001000000001</v>
      </c>
      <c r="C54" s="3">
        <f t="shared" si="0"/>
        <v>-44.000008000000008</v>
      </c>
      <c r="D54" s="3">
        <f t="shared" si="1"/>
        <v>244.00000800000001</v>
      </c>
      <c r="E54" s="3">
        <f t="shared" si="5"/>
        <v>26.832816475353457</v>
      </c>
      <c r="F54">
        <f t="shared" si="17"/>
        <v>1.9796051791855858</v>
      </c>
      <c r="G54">
        <f t="shared" si="18"/>
        <v>7.5645910002785481E-38</v>
      </c>
      <c r="H54">
        <f t="shared" si="19"/>
        <v>5.5406223843935098E+34</v>
      </c>
      <c r="I54" s="3">
        <f t="shared" si="9"/>
        <v>989.15199582269338</v>
      </c>
      <c r="J54" s="3">
        <f t="shared" si="2"/>
        <v>100</v>
      </c>
      <c r="K54" s="3">
        <f t="shared" si="10"/>
        <v>8.000001000000001</v>
      </c>
      <c r="L54" s="3">
        <f t="shared" si="3"/>
        <v>35.999991999999992</v>
      </c>
      <c r="M54" s="3">
        <f t="shared" si="4"/>
        <v>164.00000800000001</v>
      </c>
      <c r="N54" s="3">
        <f t="shared" si="11"/>
        <v>17.888544938032272</v>
      </c>
      <c r="O54">
        <f t="shared" si="20"/>
        <v>4.4265371224155624E-3</v>
      </c>
      <c r="P54">
        <f t="shared" si="21"/>
        <v>1.9237994693125926E-38</v>
      </c>
      <c r="Q54">
        <f t="shared" si="22"/>
        <v>5.5406223843935098E+34</v>
      </c>
      <c r="R54" s="3">
        <f t="shared" si="15"/>
        <v>2.7462208813456663</v>
      </c>
    </row>
    <row r="55" spans="1:18" x14ac:dyDescent="0.2">
      <c r="A55" s="15">
        <v>100</v>
      </c>
      <c r="B55" s="15">
        <f t="shared" si="16"/>
        <v>19.000001000000001</v>
      </c>
      <c r="C55" s="3">
        <f t="shared" si="0"/>
        <v>-52.000008000000008</v>
      </c>
      <c r="D55" s="3">
        <f t="shared" si="1"/>
        <v>252.00000800000001</v>
      </c>
      <c r="E55" s="3">
        <f t="shared" si="5"/>
        <v>27.568098229656684</v>
      </c>
      <c r="F55">
        <f t="shared" si="17"/>
        <v>1.9923592129108356</v>
      </c>
      <c r="G55">
        <f t="shared" si="18"/>
        <v>3.156002442344523E-38</v>
      </c>
      <c r="H55">
        <f t="shared" si="19"/>
        <v>5.5406223843935098E+34</v>
      </c>
      <c r="I55" s="3">
        <f t="shared" si="9"/>
        <v>975.10523513289229</v>
      </c>
      <c r="J55" s="3">
        <f t="shared" si="2"/>
        <v>100</v>
      </c>
      <c r="K55" s="3">
        <f t="shared" si="10"/>
        <v>9.000001000000001</v>
      </c>
      <c r="L55" s="3">
        <f t="shared" si="3"/>
        <v>27.999991999999992</v>
      </c>
      <c r="M55" s="3">
        <f t="shared" si="4"/>
        <v>172.00000800000001</v>
      </c>
      <c r="N55" s="3">
        <f t="shared" si="11"/>
        <v>18.973667015102802</v>
      </c>
      <c r="O55">
        <f t="shared" si="20"/>
        <v>3.6888490088859006E-2</v>
      </c>
      <c r="P55">
        <f t="shared" si="21"/>
        <v>1.264997656880511E-37</v>
      </c>
      <c r="Q55">
        <f t="shared" si="22"/>
        <v>5.5406223843935098E+34</v>
      </c>
      <c r="R55" s="3">
        <f t="shared" si="15"/>
        <v>21.948682211388252</v>
      </c>
    </row>
    <row r="56" spans="1:18" x14ac:dyDescent="0.2">
      <c r="A56" s="15">
        <v>100</v>
      </c>
      <c r="B56" s="15">
        <f t="shared" si="16"/>
        <v>20.000001000000001</v>
      </c>
      <c r="C56" s="3">
        <f t="shared" si="0"/>
        <v>-60.000008000000008</v>
      </c>
      <c r="D56" s="3">
        <f t="shared" si="1"/>
        <v>260.00000799999998</v>
      </c>
      <c r="E56" s="3">
        <f t="shared" si="5"/>
        <v>28.284271954568673</v>
      </c>
      <c r="F56">
        <f t="shared" si="17"/>
        <v>1.9973002068174399</v>
      </c>
      <c r="G56">
        <f t="shared" si="18"/>
        <v>1.2234316800863938E-38</v>
      </c>
      <c r="H56">
        <f t="shared" si="19"/>
        <v>5.5406223843935098E+34</v>
      </c>
      <c r="I56" s="3">
        <f t="shared" si="9"/>
        <v>908.87845940444674</v>
      </c>
      <c r="J56" s="3">
        <f t="shared" si="2"/>
        <v>100</v>
      </c>
      <c r="K56" s="3">
        <f t="shared" si="10"/>
        <v>10.000001000000001</v>
      </c>
      <c r="L56" s="3">
        <f t="shared" si="3"/>
        <v>19.999991999999992</v>
      </c>
      <c r="M56" s="3">
        <f t="shared" si="4"/>
        <v>180.00000800000001</v>
      </c>
      <c r="N56" s="3">
        <f t="shared" si="11"/>
        <v>20.000000999999976</v>
      </c>
      <c r="O56">
        <f t="shared" si="20"/>
        <v>0.15729939384873337</v>
      </c>
      <c r="P56">
        <f t="shared" si="21"/>
        <v>4.1370354925511709E-37</v>
      </c>
      <c r="Q56">
        <f t="shared" si="22"/>
        <v>5.5406223843935098E+34</v>
      </c>
      <c r="R56" s="3">
        <f t="shared" si="15"/>
        <v>90.110572651896405</v>
      </c>
    </row>
    <row r="57" spans="1:18" x14ac:dyDescent="0.2">
      <c r="A57" s="15">
        <v>100</v>
      </c>
      <c r="B57" s="15">
        <f t="shared" si="16"/>
        <v>21.000001000000001</v>
      </c>
      <c r="C57" s="3">
        <f t="shared" si="0"/>
        <v>-68.000008000000008</v>
      </c>
      <c r="D57" s="3">
        <f t="shared" si="1"/>
        <v>268.00000799999998</v>
      </c>
      <c r="E57" s="3">
        <f t="shared" si="5"/>
        <v>28.982754182444427</v>
      </c>
      <c r="F57">
        <f t="shared" si="17"/>
        <v>1.9990935517071771</v>
      </c>
      <c r="G57">
        <f t="shared" si="18"/>
        <v>4.453276852529537E-39</v>
      </c>
      <c r="H57">
        <f t="shared" si="19"/>
        <v>5.5406223843935098E+34</v>
      </c>
      <c r="I57" s="3">
        <f t="shared" si="9"/>
        <v>767.87271954960124</v>
      </c>
      <c r="J57" s="3">
        <f t="shared" si="2"/>
        <v>100</v>
      </c>
      <c r="K57" s="3">
        <f t="shared" si="10"/>
        <v>11.000001000000001</v>
      </c>
      <c r="L57" s="3">
        <f t="shared" si="3"/>
        <v>11.999991999999992</v>
      </c>
      <c r="M57" s="3">
        <f t="shared" si="4"/>
        <v>188.00000800000001</v>
      </c>
      <c r="N57" s="3">
        <f t="shared" si="11"/>
        <v>20.976177916865598</v>
      </c>
      <c r="O57">
        <f t="shared" si="20"/>
        <v>0.41849256483058733</v>
      </c>
      <c r="P57">
        <f t="shared" si="21"/>
        <v>8.1402925343836458E-37</v>
      </c>
      <c r="Q57">
        <f t="shared" si="22"/>
        <v>5.5406223843935098E+34</v>
      </c>
      <c r="R57" s="3">
        <f t="shared" si="15"/>
        <v>231.79742593105237</v>
      </c>
    </row>
    <row r="58" spans="1:18" x14ac:dyDescent="0.2">
      <c r="A58" s="15">
        <v>100</v>
      </c>
      <c r="B58" s="15">
        <f t="shared" si="16"/>
        <v>22.000001000000001</v>
      </c>
      <c r="C58" s="3">
        <f t="shared" si="0"/>
        <v>-76.000008000000008</v>
      </c>
      <c r="D58" s="3">
        <f t="shared" si="1"/>
        <v>276.00000799999998</v>
      </c>
      <c r="E58" s="3">
        <f t="shared" si="5"/>
        <v>29.664794622582505</v>
      </c>
      <c r="F58">
        <f t="shared" si="17"/>
        <v>1.9997089722307859</v>
      </c>
      <c r="G58">
        <f t="shared" si="18"/>
        <v>1.5352317485721243E-39</v>
      </c>
      <c r="H58">
        <f t="shared" si="19"/>
        <v>5.5406223843935098E+34</v>
      </c>
      <c r="I58" s="3">
        <f t="shared" si="9"/>
        <v>571.4583492561851</v>
      </c>
      <c r="J58" s="3">
        <f t="shared" si="2"/>
        <v>100</v>
      </c>
      <c r="K58" s="3">
        <f t="shared" si="10"/>
        <v>12.000001000000001</v>
      </c>
      <c r="L58" s="3">
        <f t="shared" si="3"/>
        <v>3.9999919999999918</v>
      </c>
      <c r="M58" s="3">
        <f t="shared" si="4"/>
        <v>196.00000800000001</v>
      </c>
      <c r="N58" s="3">
        <f t="shared" si="11"/>
        <v>21.908903213077554</v>
      </c>
      <c r="O58">
        <f t="shared" si="20"/>
        <v>0.79625382155811109</v>
      </c>
      <c r="P58">
        <f t="shared" si="21"/>
        <v>1.0941643257439601E-36</v>
      </c>
      <c r="Q58">
        <f t="shared" si="22"/>
        <v>5.5406223843935098E+34</v>
      </c>
      <c r="R58" s="3">
        <f t="shared" si="15"/>
        <v>428.4386675561646</v>
      </c>
    </row>
    <row r="59" spans="1:18" x14ac:dyDescent="0.2">
      <c r="A59" s="15">
        <v>100</v>
      </c>
      <c r="B59" s="15">
        <f t="shared" si="16"/>
        <v>23.000001000000001</v>
      </c>
      <c r="C59" s="3">
        <f t="shared" si="0"/>
        <v>-84.000008000000008</v>
      </c>
      <c r="D59" s="3">
        <f t="shared" si="1"/>
        <v>284.00000799999998</v>
      </c>
      <c r="E59" s="3">
        <f t="shared" si="5"/>
        <v>30.331502435586668</v>
      </c>
      <c r="F59">
        <f t="shared" si="17"/>
        <v>1.9999101638135679</v>
      </c>
      <c r="G59">
        <f t="shared" si="18"/>
        <v>5.0483472224430812E-40</v>
      </c>
      <c r="H59">
        <f t="shared" si="19"/>
        <v>5.5406223843935098E+34</v>
      </c>
      <c r="I59" s="3">
        <f t="shared" si="9"/>
        <v>371.61915586627879</v>
      </c>
      <c r="J59" s="3">
        <f t="shared" si="2"/>
        <v>100</v>
      </c>
      <c r="K59" s="3">
        <f t="shared" si="10"/>
        <v>13.000001000000001</v>
      </c>
      <c r="L59" s="3">
        <f t="shared" si="3"/>
        <v>-4.0000080000000082</v>
      </c>
      <c r="M59" s="3">
        <f t="shared" si="4"/>
        <v>204.00000800000001</v>
      </c>
      <c r="N59" s="3">
        <f t="shared" si="11"/>
        <v>22.803509379040761</v>
      </c>
      <c r="O59">
        <f t="shared" si="20"/>
        <v>1.1959197190126745</v>
      </c>
      <c r="P59">
        <f t="shared" si="21"/>
        <v>1.0969905515517939E-36</v>
      </c>
      <c r="Q59">
        <f t="shared" si="22"/>
        <v>5.5406223843935098E+34</v>
      </c>
      <c r="R59" s="3">
        <f t="shared" si="15"/>
        <v>628.3499115333176</v>
      </c>
    </row>
    <row r="60" spans="1:18" x14ac:dyDescent="0.2">
      <c r="A60" s="15">
        <v>100</v>
      </c>
      <c r="B60" s="15">
        <f t="shared" si="16"/>
        <v>24.000001000000001</v>
      </c>
      <c r="C60" s="3">
        <f t="shared" si="0"/>
        <v>-92.000008000000008</v>
      </c>
      <c r="D60" s="3">
        <f t="shared" si="1"/>
        <v>292.00000799999998</v>
      </c>
      <c r="E60" s="3">
        <f t="shared" si="5"/>
        <v>30.983867415156553</v>
      </c>
      <c r="F60">
        <f t="shared" si="17"/>
        <v>1.9999732148094167</v>
      </c>
      <c r="G60">
        <f t="shared" si="18"/>
        <v>1.5928602790622247E-40</v>
      </c>
      <c r="H60">
        <f t="shared" si="19"/>
        <v>5.5406223843935098E+34</v>
      </c>
      <c r="I60" s="3">
        <f t="shared" si="9"/>
        <v>212.4357667581379</v>
      </c>
      <c r="J60" s="3">
        <f t="shared" si="2"/>
        <v>100</v>
      </c>
      <c r="K60" s="3">
        <f t="shared" si="10"/>
        <v>14.000001000000001</v>
      </c>
      <c r="L60" s="3">
        <f t="shared" si="3"/>
        <v>-12.000008000000008</v>
      </c>
      <c r="M60" s="3">
        <f t="shared" si="4"/>
        <v>212.00000800000001</v>
      </c>
      <c r="N60" s="3">
        <f t="shared" si="11"/>
        <v>23.664319977552704</v>
      </c>
      <c r="O60">
        <f t="shared" si="20"/>
        <v>1.5267108137862588</v>
      </c>
      <c r="P60">
        <f t="shared" si="21"/>
        <v>8.735425298163061E-37</v>
      </c>
      <c r="Q60">
        <f t="shared" si="22"/>
        <v>5.5406223843935098E+34</v>
      </c>
      <c r="R60" s="3">
        <f t="shared" si="15"/>
        <v>787.55525336522919</v>
      </c>
    </row>
    <row r="61" spans="1:18" x14ac:dyDescent="0.2">
      <c r="A61" s="15">
        <v>100</v>
      </c>
      <c r="B61" s="15">
        <f t="shared" si="16"/>
        <v>25.000001000000001</v>
      </c>
      <c r="C61" s="3">
        <f t="shared" si="0"/>
        <v>-100.00000800000001</v>
      </c>
      <c r="D61" s="3">
        <f t="shared" si="1"/>
        <v>300.00000799999998</v>
      </c>
      <c r="E61" s="3">
        <f t="shared" si="5"/>
        <v>31.622777234139321</v>
      </c>
      <c r="F61">
        <f t="shared" si="17"/>
        <v>1.9999922557932888</v>
      </c>
      <c r="G61">
        <f t="shared" si="18"/>
        <v>4.8464059947546514E-41</v>
      </c>
      <c r="H61">
        <f t="shared" si="19"/>
        <v>5.5406223843935098E+34</v>
      </c>
      <c r="I61" s="3">
        <f t="shared" si="9"/>
        <v>108.07638850910064</v>
      </c>
      <c r="J61" s="3">
        <f t="shared" si="2"/>
        <v>100</v>
      </c>
      <c r="K61" s="3">
        <f t="shared" si="10"/>
        <v>15.000001000000001</v>
      </c>
      <c r="L61" s="3">
        <f t="shared" si="3"/>
        <v>-20.000008000000008</v>
      </c>
      <c r="M61" s="3">
        <f t="shared" si="4"/>
        <v>220.00000800000001</v>
      </c>
      <c r="N61" s="3">
        <f t="shared" si="11"/>
        <v>24.494898244328347</v>
      </c>
      <c r="O61">
        <f t="shared" si="20"/>
        <v>1.7517870944508038</v>
      </c>
      <c r="P61">
        <f t="shared" si="21"/>
        <v>5.7854636737432838E-37</v>
      </c>
      <c r="Q61">
        <f t="shared" si="22"/>
        <v>5.5406223843935098E+34</v>
      </c>
      <c r="R61" s="3">
        <f t="shared" si="15"/>
        <v>891.92108199282075</v>
      </c>
    </row>
    <row r="62" spans="1:18" x14ac:dyDescent="0.2">
      <c r="A62" s="15">
        <v>100</v>
      </c>
      <c r="B62" s="15">
        <f t="shared" si="16"/>
        <v>26.000001000000001</v>
      </c>
      <c r="C62" s="3">
        <f t="shared" si="0"/>
        <v>-108.00000800000001</v>
      </c>
      <c r="D62" s="3">
        <f t="shared" si="1"/>
        <v>308.00000799999998</v>
      </c>
      <c r="E62" s="3">
        <f t="shared" si="5"/>
        <v>32.249031613367869</v>
      </c>
      <c r="F62">
        <f t="shared" si="17"/>
        <v>1.9999978214445744</v>
      </c>
      <c r="G62">
        <f t="shared" si="18"/>
        <v>1.4279186031762588E-41</v>
      </c>
      <c r="H62">
        <f t="shared" si="19"/>
        <v>5.5406223843935098E+34</v>
      </c>
      <c r="I62" s="3">
        <f t="shared" si="9"/>
        <v>49.62254513432265</v>
      </c>
      <c r="J62" s="3">
        <f t="shared" si="2"/>
        <v>100</v>
      </c>
      <c r="K62" s="3">
        <f t="shared" si="10"/>
        <v>16.000001000000001</v>
      </c>
      <c r="L62" s="3">
        <f t="shared" si="3"/>
        <v>-28.000008000000008</v>
      </c>
      <c r="M62" s="3">
        <f t="shared" si="4"/>
        <v>228.00000800000001</v>
      </c>
      <c r="N62" s="3">
        <f t="shared" si="11"/>
        <v>25.298222071916438</v>
      </c>
      <c r="O62">
        <f t="shared" si="20"/>
        <v>1.8824752252586767</v>
      </c>
      <c r="P62">
        <f t="shared" si="21"/>
        <v>3.2989609839708508E-37</v>
      </c>
      <c r="Q62">
        <f t="shared" si="22"/>
        <v>5.5406223843935098E+34</v>
      </c>
      <c r="R62" s="3">
        <f t="shared" si="15"/>
        <v>950.37676116585328</v>
      </c>
    </row>
    <row r="63" spans="1:18" x14ac:dyDescent="0.2">
      <c r="A63" s="15">
        <v>100</v>
      </c>
      <c r="B63" s="15">
        <f t="shared" si="16"/>
        <v>27.000001000000001</v>
      </c>
      <c r="C63" s="3">
        <f t="shared" si="0"/>
        <v>-116.00000800000001</v>
      </c>
      <c r="D63" s="3">
        <f t="shared" si="1"/>
        <v>316.00000799999998</v>
      </c>
      <c r="E63" s="3">
        <f t="shared" si="5"/>
        <v>32.863354058890586</v>
      </c>
      <c r="F63">
        <f t="shared" si="17"/>
        <v>1.9999994019489904</v>
      </c>
      <c r="G63">
        <f t="shared" si="18"/>
        <v>4.0887031064488632E-42</v>
      </c>
      <c r="H63">
        <f t="shared" si="19"/>
        <v>5.5406223843935098E+34</v>
      </c>
      <c r="I63" s="3">
        <f t="shared" si="9"/>
        <v>20.839768756166563</v>
      </c>
      <c r="J63" s="3">
        <f t="shared" si="2"/>
        <v>100</v>
      </c>
      <c r="K63" s="3">
        <f t="shared" si="10"/>
        <v>17.000001000000001</v>
      </c>
      <c r="L63" s="3">
        <f t="shared" si="3"/>
        <v>-36.000008000000008</v>
      </c>
      <c r="M63" s="3">
        <f t="shared" si="4"/>
        <v>236.00000800000001</v>
      </c>
      <c r="N63" s="3">
        <f t="shared" si="11"/>
        <v>26.076810387775573</v>
      </c>
      <c r="O63">
        <f t="shared" si="20"/>
        <v>1.9491062413627604</v>
      </c>
      <c r="P63">
        <f t="shared" si="21"/>
        <v>1.6629629262317649E-37</v>
      </c>
      <c r="Q63">
        <f t="shared" si="22"/>
        <v>5.5406223843935098E+34</v>
      </c>
      <c r="R63" s="3">
        <f t="shared" si="15"/>
        <v>979.16004548812839</v>
      </c>
    </row>
    <row r="64" spans="1:18" x14ac:dyDescent="0.2">
      <c r="A64" s="15">
        <v>100</v>
      </c>
      <c r="B64" s="15">
        <f t="shared" si="16"/>
        <v>28.000001000000001</v>
      </c>
      <c r="C64" s="3">
        <f t="shared" si="0"/>
        <v>-124.00000800000001</v>
      </c>
      <c r="D64" s="3">
        <f t="shared" si="1"/>
        <v>324.00000799999998</v>
      </c>
      <c r="E64" s="3">
        <f t="shared" si="5"/>
        <v>33.466401658977325</v>
      </c>
      <c r="F64">
        <f t="shared" si="17"/>
        <v>1.9999998393856544</v>
      </c>
      <c r="G64">
        <f t="shared" si="18"/>
        <v>1.1413017529890292E-42</v>
      </c>
      <c r="H64">
        <f t="shared" si="19"/>
        <v>5.5406223843935098E+34</v>
      </c>
      <c r="I64" s="3">
        <f t="shared" si="9"/>
        <v>8.1017346063982814</v>
      </c>
      <c r="J64" s="3">
        <f t="shared" si="2"/>
        <v>100</v>
      </c>
      <c r="K64" s="3">
        <f t="shared" si="10"/>
        <v>18.000001000000001</v>
      </c>
      <c r="L64" s="3">
        <f t="shared" si="3"/>
        <v>-44.000008000000008</v>
      </c>
      <c r="M64" s="3">
        <f t="shared" si="4"/>
        <v>244.00000800000001</v>
      </c>
      <c r="N64" s="3">
        <f t="shared" si="11"/>
        <v>26.832816475353457</v>
      </c>
      <c r="O64">
        <f t="shared" si="20"/>
        <v>1.9796051791855858</v>
      </c>
      <c r="P64">
        <f t="shared" si="21"/>
        <v>7.5645910002785481E-38</v>
      </c>
      <c r="Q64">
        <f t="shared" si="22"/>
        <v>5.5406223843935098E+34</v>
      </c>
      <c r="R64" s="3">
        <f t="shared" si="15"/>
        <v>991.8982167040391</v>
      </c>
    </row>
    <row r="65" spans="1:18" x14ac:dyDescent="0.2">
      <c r="A65" s="15">
        <v>100</v>
      </c>
      <c r="B65" s="15">
        <f t="shared" si="16"/>
        <v>29.000001000000001</v>
      </c>
      <c r="C65" s="3">
        <f t="shared" si="0"/>
        <v>-132.00000800000001</v>
      </c>
      <c r="D65" s="3">
        <f t="shared" si="1"/>
        <v>332.00000799999998</v>
      </c>
      <c r="E65" s="3">
        <f t="shared" si="5"/>
        <v>34.058773319073019</v>
      </c>
      <c r="F65">
        <f t="shared" si="17"/>
        <v>1.999999957707608</v>
      </c>
      <c r="G65">
        <f t="shared" si="18"/>
        <v>3.1138541700240326E-43</v>
      </c>
      <c r="H65">
        <f t="shared" si="19"/>
        <v>5.5406223843935098E+34</v>
      </c>
      <c r="I65" s="3">
        <f t="shared" si="9"/>
        <v>2.946070135868581</v>
      </c>
      <c r="J65" s="3">
        <f t="shared" si="2"/>
        <v>100</v>
      </c>
      <c r="K65" s="3">
        <f t="shared" si="10"/>
        <v>19.000001000000001</v>
      </c>
      <c r="L65" s="3">
        <f t="shared" si="3"/>
        <v>-52.000008000000008</v>
      </c>
      <c r="M65" s="3">
        <f t="shared" si="4"/>
        <v>252.00000800000001</v>
      </c>
      <c r="N65" s="3">
        <f t="shared" si="11"/>
        <v>27.568098229656684</v>
      </c>
      <c r="O65">
        <f t="shared" si="20"/>
        <v>1.9923592129108356</v>
      </c>
      <c r="P65">
        <f t="shared" si="21"/>
        <v>3.156002442344523E-38</v>
      </c>
      <c r="Q65">
        <f t="shared" si="22"/>
        <v>5.5406223843935098E+34</v>
      </c>
      <c r="R65" s="3">
        <f t="shared" si="15"/>
        <v>997.05391734428053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C6"/>
  <sheetViews>
    <sheetView workbookViewId="0">
      <selection activeCell="A4" sqref="A4"/>
    </sheetView>
  </sheetViews>
  <sheetFormatPr baseColWidth="10" defaultRowHeight="16" x14ac:dyDescent="0.2"/>
  <cols>
    <col min="3" max="3" width="79.5" customWidth="1"/>
  </cols>
  <sheetData>
    <row r="1" spans="1:3" x14ac:dyDescent="0.2">
      <c r="A1" t="s">
        <v>10</v>
      </c>
    </row>
    <row r="3" spans="1:3" x14ac:dyDescent="0.2">
      <c r="A3" t="s">
        <v>11</v>
      </c>
      <c r="B3" t="s">
        <v>12</v>
      </c>
      <c r="C3" t="s">
        <v>13</v>
      </c>
    </row>
    <row r="4" spans="1:3" x14ac:dyDescent="0.2">
      <c r="A4">
        <v>1</v>
      </c>
      <c r="B4" s="2">
        <v>42319</v>
      </c>
      <c r="C4" t="s">
        <v>14</v>
      </c>
    </row>
    <row r="5" spans="1:3" x14ac:dyDescent="0.2">
      <c r="A5">
        <v>2</v>
      </c>
      <c r="B5" s="2">
        <v>42319</v>
      </c>
      <c r="C5" t="s">
        <v>15</v>
      </c>
    </row>
    <row r="6" spans="1:3" x14ac:dyDescent="0.2">
      <c r="A6">
        <v>3</v>
      </c>
      <c r="B6" s="2">
        <v>42319</v>
      </c>
      <c r="C6" t="s">
        <v>16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49"/>
  <sheetViews>
    <sheetView workbookViewId="0">
      <selection activeCell="O28" sqref="O28"/>
    </sheetView>
  </sheetViews>
  <sheetFormatPr baseColWidth="10" defaultRowHeight="16" x14ac:dyDescent="0.2"/>
  <cols>
    <col min="1" max="1" width="19.5" customWidth="1"/>
    <col min="2" max="3" width="11" bestFit="1" customWidth="1"/>
    <col min="4" max="4" width="12.1640625" bestFit="1" customWidth="1"/>
  </cols>
  <sheetData>
    <row r="1" spans="1:8" x14ac:dyDescent="0.2">
      <c r="A1" s="3" t="s">
        <v>32</v>
      </c>
      <c r="B1" s="3" t="s">
        <v>293</v>
      </c>
      <c r="C1" s="3"/>
      <c r="D1" s="3"/>
      <c r="E1" s="3"/>
      <c r="H1" s="3"/>
    </row>
    <row r="2" spans="1:8" x14ac:dyDescent="0.2">
      <c r="A2" s="3" t="s">
        <v>191</v>
      </c>
      <c r="B2" s="3" t="s">
        <v>208</v>
      </c>
      <c r="C2" s="3"/>
      <c r="D2" s="3"/>
      <c r="E2" s="3"/>
      <c r="H2" s="3"/>
    </row>
    <row r="3" spans="1:8" x14ac:dyDescent="0.2">
      <c r="A3" s="3" t="s">
        <v>273</v>
      </c>
      <c r="B3" s="3">
        <v>1</v>
      </c>
      <c r="C3" s="3"/>
      <c r="D3" s="3"/>
      <c r="E3" s="3"/>
      <c r="H3" s="3"/>
    </row>
    <row r="4" spans="1:8" x14ac:dyDescent="0.2">
      <c r="A4" s="3" t="s">
        <v>274</v>
      </c>
      <c r="B4" s="3" t="s">
        <v>19</v>
      </c>
      <c r="C4" s="3"/>
      <c r="D4" s="3"/>
      <c r="E4" s="3"/>
      <c r="H4" s="3"/>
    </row>
    <row r="5" spans="1:8" x14ac:dyDescent="0.2">
      <c r="A5" s="3" t="s">
        <v>275</v>
      </c>
      <c r="B5" s="3" t="s">
        <v>19</v>
      </c>
      <c r="C5" s="3"/>
      <c r="D5" s="3"/>
      <c r="E5" s="3"/>
      <c r="H5" s="3"/>
    </row>
    <row r="6" spans="1:8" x14ac:dyDescent="0.2">
      <c r="A6" s="3" t="s">
        <v>276</v>
      </c>
      <c r="B6" s="3" t="s">
        <v>282</v>
      </c>
      <c r="C6" s="3"/>
      <c r="D6" s="3"/>
      <c r="E6" s="3"/>
      <c r="H6" s="3"/>
    </row>
    <row r="7" spans="1:8" x14ac:dyDescent="0.2">
      <c r="A7" s="3" t="s">
        <v>277</v>
      </c>
      <c r="B7" s="3" t="s">
        <v>24</v>
      </c>
      <c r="C7" s="3"/>
      <c r="D7" s="3"/>
      <c r="E7" s="3"/>
      <c r="H7" s="3"/>
    </row>
    <row r="8" spans="1:8" ht="16" customHeight="1" x14ac:dyDescent="0.2">
      <c r="A8" s="3" t="s">
        <v>278</v>
      </c>
      <c r="B8" s="3" t="s">
        <v>26</v>
      </c>
      <c r="C8" s="3"/>
      <c r="D8" s="3"/>
      <c r="E8" s="3"/>
      <c r="H8" s="3"/>
    </row>
    <row r="9" spans="1:8" ht="16" customHeight="1" x14ac:dyDescent="0.2">
      <c r="A9" s="3" t="s">
        <v>279</v>
      </c>
      <c r="B9" s="3" t="s">
        <v>26</v>
      </c>
      <c r="C9" s="3"/>
      <c r="D9" s="3"/>
      <c r="E9" s="3"/>
      <c r="H9" s="3"/>
    </row>
    <row r="10" spans="1:8" ht="16" customHeight="1" x14ac:dyDescent="0.2">
      <c r="A10" s="3" t="s">
        <v>130</v>
      </c>
      <c r="B10" s="3" t="s">
        <v>283</v>
      </c>
      <c r="C10" s="3"/>
      <c r="D10" s="3"/>
      <c r="E10" s="3"/>
      <c r="H10" s="3"/>
    </row>
    <row r="11" spans="1:8" ht="16" customHeight="1" x14ac:dyDescent="0.2">
      <c r="A11" s="3"/>
      <c r="B11" s="3" t="s">
        <v>298</v>
      </c>
      <c r="C11" s="3"/>
      <c r="D11" s="3"/>
      <c r="E11" s="3"/>
      <c r="H11" s="3"/>
    </row>
    <row r="12" spans="1:8" ht="16" customHeight="1" x14ac:dyDescent="0.2">
      <c r="A12" s="3"/>
      <c r="B12" s="3" t="s">
        <v>299</v>
      </c>
      <c r="C12" s="3"/>
      <c r="D12" s="3"/>
      <c r="E12" s="3"/>
      <c r="H12" s="3"/>
    </row>
    <row r="13" spans="1:8" ht="16" customHeight="1" x14ac:dyDescent="0.2">
      <c r="A13" s="3" t="s">
        <v>30</v>
      </c>
      <c r="B13" s="3"/>
      <c r="C13" s="3"/>
      <c r="D13" s="3"/>
      <c r="E13" s="3"/>
      <c r="H13" s="3"/>
    </row>
    <row r="14" spans="1:8" ht="16" customHeight="1" x14ac:dyDescent="0.2">
      <c r="A14" s="3" t="s">
        <v>85</v>
      </c>
      <c r="B14" s="3" t="s">
        <v>86</v>
      </c>
      <c r="C14" s="3"/>
      <c r="D14" s="3"/>
      <c r="E14" s="3"/>
      <c r="H14" s="3"/>
    </row>
    <row r="15" spans="1:8" ht="16" customHeight="1" x14ac:dyDescent="0.2">
      <c r="B15" s="3" t="s">
        <v>294</v>
      </c>
      <c r="C15" s="3"/>
      <c r="D15" s="3"/>
      <c r="E15" s="3"/>
      <c r="H15" s="3"/>
    </row>
    <row r="16" spans="1:8" ht="16" customHeight="1" x14ac:dyDescent="0.2">
      <c r="A16" s="3" t="s">
        <v>87</v>
      </c>
      <c r="B16" s="3" t="s">
        <v>295</v>
      </c>
      <c r="C16" s="3"/>
      <c r="D16" s="3"/>
      <c r="E16" s="3"/>
      <c r="H16" s="3"/>
    </row>
    <row r="17" spans="1:8" ht="16" customHeight="1" x14ac:dyDescent="0.2">
      <c r="A17" s="3"/>
      <c r="B17" s="3"/>
      <c r="C17" s="3"/>
      <c r="D17" s="3"/>
      <c r="E17" s="3"/>
      <c r="H17" s="3"/>
    </row>
    <row r="18" spans="1:8" ht="16" customHeight="1" x14ac:dyDescent="0.2">
      <c r="A18" s="3" t="s">
        <v>93</v>
      </c>
      <c r="B18" s="3" t="s">
        <v>296</v>
      </c>
      <c r="C18" s="3"/>
      <c r="D18" s="3"/>
      <c r="E18" s="3"/>
      <c r="H18" s="3"/>
    </row>
    <row r="19" spans="1:8" ht="16" customHeight="1" x14ac:dyDescent="0.2">
      <c r="A19" s="3"/>
      <c r="B19" s="3"/>
      <c r="C19" s="3"/>
      <c r="D19" s="3"/>
      <c r="E19" s="3"/>
      <c r="F19" s="3"/>
      <c r="G19" s="3"/>
      <c r="H19" s="3"/>
    </row>
    <row r="20" spans="1:8" x14ac:dyDescent="0.2">
      <c r="A20" s="3" t="s">
        <v>33</v>
      </c>
      <c r="B20" s="3"/>
      <c r="C20" s="3"/>
      <c r="D20" s="3"/>
      <c r="E20" s="3"/>
      <c r="F20" s="3"/>
      <c r="G20" s="3"/>
      <c r="H20" s="3"/>
    </row>
    <row r="21" spans="1:8" x14ac:dyDescent="0.2">
      <c r="A21" s="57" t="s">
        <v>34</v>
      </c>
      <c r="B21" s="56">
        <v>100</v>
      </c>
      <c r="C21" s="3" t="s">
        <v>284</v>
      </c>
      <c r="D21" s="3"/>
      <c r="E21" s="3"/>
      <c r="F21" s="3"/>
      <c r="G21" s="3"/>
    </row>
    <row r="22" spans="1:8" x14ac:dyDescent="0.2">
      <c r="A22" s="57" t="s">
        <v>41</v>
      </c>
      <c r="B22" s="56">
        <v>0.05</v>
      </c>
      <c r="C22" s="3" t="s">
        <v>285</v>
      </c>
      <c r="D22" s="3"/>
      <c r="E22" s="3"/>
      <c r="F22" s="3"/>
      <c r="G22" s="3"/>
    </row>
    <row r="23" spans="1:8" x14ac:dyDescent="0.2">
      <c r="A23" s="57" t="s">
        <v>286</v>
      </c>
      <c r="B23" s="56">
        <v>1</v>
      </c>
      <c r="C23" s="3" t="s">
        <v>287</v>
      </c>
      <c r="D23" s="3"/>
      <c r="E23" s="3"/>
      <c r="F23" s="3"/>
      <c r="G23" s="3"/>
    </row>
    <row r="24" spans="1:8" x14ac:dyDescent="0.2">
      <c r="A24" s="57" t="s">
        <v>288</v>
      </c>
      <c r="B24" s="56">
        <v>0.5</v>
      </c>
      <c r="C24" s="3" t="s">
        <v>289</v>
      </c>
      <c r="D24" s="3"/>
      <c r="E24" s="3"/>
      <c r="F24" s="3"/>
      <c r="G24" s="3"/>
    </row>
    <row r="25" spans="1:8" x14ac:dyDescent="0.2">
      <c r="A25" s="57" t="s">
        <v>243</v>
      </c>
      <c r="B25" s="56">
        <v>0.5</v>
      </c>
      <c r="C25" s="3" t="s">
        <v>301</v>
      </c>
      <c r="G25" s="3"/>
    </row>
    <row r="26" spans="1:8" x14ac:dyDescent="0.2">
      <c r="A26" s="57" t="s">
        <v>300</v>
      </c>
      <c r="B26" t="str">
        <f>CONCATENATE("Concentration history at x= ",B29," (meters) downgradient of source zone")</f>
        <v>Concentration history at x= 2 (meters) downgradient of source zone</v>
      </c>
      <c r="E26" s="3"/>
      <c r="F26" s="3"/>
      <c r="G26" s="3"/>
      <c r="H26" s="3"/>
    </row>
    <row r="27" spans="1:8" x14ac:dyDescent="0.2">
      <c r="C27" s="3"/>
      <c r="D27" s="3"/>
      <c r="E27" s="3"/>
      <c r="F27" s="3"/>
      <c r="G27" s="3"/>
      <c r="H27" s="3"/>
    </row>
    <row r="28" spans="1:8" x14ac:dyDescent="0.2">
      <c r="B28" s="3" t="s">
        <v>290</v>
      </c>
      <c r="C28" s="3" t="s">
        <v>291</v>
      </c>
      <c r="D28" s="3" t="s">
        <v>292</v>
      </c>
    </row>
    <row r="29" spans="1:8" x14ac:dyDescent="0.2">
      <c r="B29" s="56">
        <v>2</v>
      </c>
      <c r="C29" s="56">
        <v>1E-4</v>
      </c>
      <c r="D29">
        <f t="shared" ref="D29:D49" si="0">ADExpDecay($B$21,B29,C29,$B$23,$B$22,$B$24)</f>
        <v>0</v>
      </c>
    </row>
    <row r="30" spans="1:8" x14ac:dyDescent="0.2">
      <c r="B30" s="56">
        <f t="shared" ref="B30:B49" si="1">B29</f>
        <v>2</v>
      </c>
      <c r="C30" s="56">
        <f t="shared" ref="C30:C49" si="2">C29+$B$25</f>
        <v>0.50009999999999999</v>
      </c>
      <c r="D30">
        <f t="shared" si="0"/>
        <v>3.5086892451649563E-10</v>
      </c>
    </row>
    <row r="31" spans="1:8" x14ac:dyDescent="0.2">
      <c r="B31" s="56">
        <f t="shared" si="1"/>
        <v>2</v>
      </c>
      <c r="C31" s="56">
        <f t="shared" si="2"/>
        <v>1.0001</v>
      </c>
      <c r="D31">
        <f t="shared" si="0"/>
        <v>2.6969779530965923E-2</v>
      </c>
    </row>
    <row r="32" spans="1:8" x14ac:dyDescent="0.2">
      <c r="B32" s="56">
        <f t="shared" si="1"/>
        <v>2</v>
      </c>
      <c r="C32" s="56">
        <f t="shared" si="2"/>
        <v>1.5001</v>
      </c>
      <c r="D32">
        <f t="shared" si="0"/>
        <v>3.2289276451249891</v>
      </c>
    </row>
    <row r="33" spans="2:4" x14ac:dyDescent="0.2">
      <c r="B33" s="56">
        <f t="shared" si="1"/>
        <v>2</v>
      </c>
      <c r="C33" s="56">
        <f t="shared" si="2"/>
        <v>2.0000999999999998</v>
      </c>
      <c r="D33">
        <f t="shared" si="0"/>
        <v>15.096218057168221</v>
      </c>
    </row>
    <row r="34" spans="2:4" x14ac:dyDescent="0.2">
      <c r="B34" s="56">
        <f t="shared" si="1"/>
        <v>2</v>
      </c>
      <c r="C34" s="56">
        <f t="shared" si="2"/>
        <v>2.5000999999999998</v>
      </c>
      <c r="D34">
        <f t="shared" si="0"/>
        <v>22.157747723416644</v>
      </c>
    </row>
    <row r="35" spans="2:4" x14ac:dyDescent="0.2">
      <c r="B35" s="56">
        <f t="shared" si="1"/>
        <v>2</v>
      </c>
      <c r="C35" s="56">
        <f t="shared" si="2"/>
        <v>3.0000999999999998</v>
      </c>
      <c r="D35">
        <f t="shared" si="0"/>
        <v>21.000329747856892</v>
      </c>
    </row>
    <row r="36" spans="2:4" x14ac:dyDescent="0.2">
      <c r="B36" s="56">
        <f t="shared" si="1"/>
        <v>2</v>
      </c>
      <c r="C36" s="56">
        <f t="shared" si="2"/>
        <v>3.5000999999999998</v>
      </c>
      <c r="D36">
        <f t="shared" si="0"/>
        <v>17.198045336879066</v>
      </c>
    </row>
    <row r="37" spans="2:4" x14ac:dyDescent="0.2">
      <c r="B37" s="56">
        <f t="shared" si="1"/>
        <v>2</v>
      </c>
      <c r="C37" s="56">
        <f t="shared" si="2"/>
        <v>4.0000999999999998</v>
      </c>
      <c r="D37">
        <f t="shared" si="0"/>
        <v>13.536806986869927</v>
      </c>
    </row>
    <row r="38" spans="2:4" x14ac:dyDescent="0.2">
      <c r="B38" s="56">
        <f t="shared" si="1"/>
        <v>2</v>
      </c>
      <c r="C38" s="56">
        <f t="shared" si="2"/>
        <v>4.5000999999999998</v>
      </c>
      <c r="D38">
        <f t="shared" si="0"/>
        <v>10.562679582600618</v>
      </c>
    </row>
    <row r="39" spans="2:4" x14ac:dyDescent="0.2">
      <c r="B39" s="56">
        <f t="shared" si="1"/>
        <v>2</v>
      </c>
      <c r="C39" s="56">
        <f t="shared" si="2"/>
        <v>5.0000999999999998</v>
      </c>
      <c r="D39">
        <f t="shared" si="0"/>
        <v>8.2287470724833334</v>
      </c>
    </row>
    <row r="40" spans="2:4" x14ac:dyDescent="0.2">
      <c r="B40" s="56">
        <f t="shared" si="1"/>
        <v>2</v>
      </c>
      <c r="C40" s="56">
        <f t="shared" si="2"/>
        <v>5.5000999999999998</v>
      </c>
      <c r="D40">
        <f t="shared" si="0"/>
        <v>6.408843680419972</v>
      </c>
    </row>
    <row r="41" spans="2:4" x14ac:dyDescent="0.2">
      <c r="B41" s="56">
        <f t="shared" si="1"/>
        <v>2</v>
      </c>
      <c r="C41" s="56">
        <f t="shared" si="2"/>
        <v>6.0000999999999998</v>
      </c>
      <c r="D41">
        <f t="shared" si="0"/>
        <v>4.991243534910252</v>
      </c>
    </row>
    <row r="42" spans="2:4" x14ac:dyDescent="0.2">
      <c r="B42" s="56">
        <f t="shared" si="1"/>
        <v>2</v>
      </c>
      <c r="C42" s="56">
        <f t="shared" si="2"/>
        <v>6.5000999999999998</v>
      </c>
      <c r="D42">
        <f t="shared" si="0"/>
        <v>3.8871875555940441</v>
      </c>
    </row>
    <row r="43" spans="2:4" x14ac:dyDescent="0.2">
      <c r="B43" s="56">
        <f t="shared" si="1"/>
        <v>2</v>
      </c>
      <c r="C43" s="56">
        <f t="shared" si="2"/>
        <v>7.0000999999999998</v>
      </c>
      <c r="D43">
        <f t="shared" si="0"/>
        <v>3.027345026541461</v>
      </c>
    </row>
    <row r="44" spans="2:4" x14ac:dyDescent="0.2">
      <c r="B44" s="56">
        <f t="shared" si="1"/>
        <v>2</v>
      </c>
      <c r="C44" s="56">
        <f t="shared" si="2"/>
        <v>7.5000999999999998</v>
      </c>
      <c r="D44">
        <f t="shared" si="0"/>
        <v>2.3576987074627236</v>
      </c>
    </row>
    <row r="45" spans="2:4" x14ac:dyDescent="0.2">
      <c r="B45" s="56">
        <f t="shared" si="1"/>
        <v>2</v>
      </c>
      <c r="C45" s="56">
        <f t="shared" si="2"/>
        <v>8.0000999999999998</v>
      </c>
      <c r="D45">
        <f t="shared" si="0"/>
        <v>1.8361776024479737</v>
      </c>
    </row>
    <row r="46" spans="2:4" x14ac:dyDescent="0.2">
      <c r="B46" s="56">
        <f t="shared" si="1"/>
        <v>2</v>
      </c>
      <c r="C46" s="56">
        <f t="shared" si="2"/>
        <v>8.5000999999999998</v>
      </c>
      <c r="D46">
        <f t="shared" si="0"/>
        <v>1.4300165549052093</v>
      </c>
    </row>
    <row r="47" spans="2:4" x14ac:dyDescent="0.2">
      <c r="B47" s="56">
        <f t="shared" si="1"/>
        <v>2</v>
      </c>
      <c r="C47" s="56">
        <f t="shared" si="2"/>
        <v>9.0000999999999998</v>
      </c>
      <c r="D47">
        <f t="shared" si="0"/>
        <v>1.1136980127888807</v>
      </c>
    </row>
    <row r="48" spans="2:4" x14ac:dyDescent="0.2">
      <c r="B48" s="56">
        <f t="shared" si="1"/>
        <v>2</v>
      </c>
      <c r="C48" s="56">
        <f t="shared" si="2"/>
        <v>9.5000999999999998</v>
      </c>
      <c r="D48">
        <f t="shared" si="0"/>
        <v>0.86734888446716418</v>
      </c>
    </row>
    <row r="49" spans="2:4" x14ac:dyDescent="0.2">
      <c r="B49" s="56">
        <f t="shared" si="1"/>
        <v>2</v>
      </c>
      <c r="C49" s="56">
        <f t="shared" si="2"/>
        <v>10.0001</v>
      </c>
      <c r="D49">
        <f t="shared" si="0"/>
        <v>0.6754919904193244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E55"/>
  <sheetViews>
    <sheetView workbookViewId="0">
      <selection activeCell="B10" sqref="B10"/>
    </sheetView>
  </sheetViews>
  <sheetFormatPr baseColWidth="10" defaultRowHeight="16" x14ac:dyDescent="0.2"/>
  <cols>
    <col min="1" max="1" width="25.1640625" customWidth="1"/>
    <col min="7" max="7" width="16.6640625" customWidth="1"/>
  </cols>
  <sheetData>
    <row r="1" spans="1:3" x14ac:dyDescent="0.2">
      <c r="A1" s="3" t="s">
        <v>32</v>
      </c>
      <c r="B1" s="3" t="s">
        <v>356</v>
      </c>
      <c r="C1" s="3"/>
    </row>
    <row r="2" spans="1:3" x14ac:dyDescent="0.2">
      <c r="A2" s="3" t="s">
        <v>191</v>
      </c>
      <c r="B2" t="s">
        <v>208</v>
      </c>
      <c r="C2" s="3"/>
    </row>
    <row r="3" spans="1:3" x14ac:dyDescent="0.2">
      <c r="A3" s="3" t="s">
        <v>273</v>
      </c>
      <c r="B3">
        <v>1</v>
      </c>
      <c r="C3" s="3"/>
    </row>
    <row r="4" spans="1:3" x14ac:dyDescent="0.2">
      <c r="A4" s="3" t="s">
        <v>274</v>
      </c>
      <c r="B4" t="s">
        <v>19</v>
      </c>
      <c r="C4" s="3"/>
    </row>
    <row r="5" spans="1:3" x14ac:dyDescent="0.2">
      <c r="A5" s="3" t="s">
        <v>275</v>
      </c>
      <c r="B5" t="s">
        <v>19</v>
      </c>
      <c r="C5" s="3"/>
    </row>
    <row r="6" spans="1:3" x14ac:dyDescent="0.2">
      <c r="A6" s="3" t="s">
        <v>276</v>
      </c>
      <c r="B6" t="s">
        <v>314</v>
      </c>
      <c r="C6" s="3"/>
    </row>
    <row r="7" spans="1:3" x14ac:dyDescent="0.2">
      <c r="A7" s="3" t="s">
        <v>277</v>
      </c>
      <c r="B7" t="s">
        <v>24</v>
      </c>
      <c r="C7" s="3"/>
    </row>
    <row r="8" spans="1:3" x14ac:dyDescent="0.2">
      <c r="A8" s="3" t="s">
        <v>278</v>
      </c>
      <c r="B8" t="s">
        <v>26</v>
      </c>
      <c r="C8" s="3"/>
    </row>
    <row r="9" spans="1:3" x14ac:dyDescent="0.2">
      <c r="A9" s="3" t="s">
        <v>279</v>
      </c>
      <c r="B9" t="s">
        <v>19</v>
      </c>
      <c r="C9" s="3"/>
    </row>
    <row r="10" spans="1:3" x14ac:dyDescent="0.2">
      <c r="A10" s="3" t="s">
        <v>130</v>
      </c>
      <c r="B10" t="s">
        <v>313</v>
      </c>
      <c r="C10" s="3"/>
    </row>
    <row r="11" spans="1:3" x14ac:dyDescent="0.2">
      <c r="A11" s="3"/>
      <c r="C11" s="3"/>
    </row>
    <row r="12" spans="1:3" x14ac:dyDescent="0.2">
      <c r="A12" s="3"/>
      <c r="C12" s="3"/>
    </row>
    <row r="13" spans="1:3" x14ac:dyDescent="0.2">
      <c r="A13" s="3" t="s">
        <v>30</v>
      </c>
      <c r="B13" t="s">
        <v>376</v>
      </c>
      <c r="C13" s="3"/>
    </row>
    <row r="14" spans="1:3" x14ac:dyDescent="0.2">
      <c r="A14" s="3" t="s">
        <v>85</v>
      </c>
      <c r="B14" s="3" t="s">
        <v>86</v>
      </c>
      <c r="C14" s="3"/>
    </row>
    <row r="15" spans="1:3" x14ac:dyDescent="0.2">
      <c r="B15" s="3" t="s">
        <v>294</v>
      </c>
    </row>
    <row r="16" spans="1:3" x14ac:dyDescent="0.2">
      <c r="A16" s="3" t="s">
        <v>87</v>
      </c>
      <c r="B16" t="s">
        <v>317</v>
      </c>
    </row>
    <row r="17" spans="1:3" x14ac:dyDescent="0.2">
      <c r="A17" s="3"/>
    </row>
    <row r="18" spans="1:3" x14ac:dyDescent="0.2">
      <c r="A18" s="3" t="s">
        <v>93</v>
      </c>
      <c r="B18" s="19" t="s">
        <v>316</v>
      </c>
    </row>
    <row r="20" spans="1:3" x14ac:dyDescent="0.2">
      <c r="A20" s="3" t="s">
        <v>33</v>
      </c>
      <c r="B20" s="19"/>
      <c r="C20" s="3"/>
    </row>
    <row r="21" spans="1:3" x14ac:dyDescent="0.2">
      <c r="A21" s="3" t="s">
        <v>302</v>
      </c>
      <c r="B21" s="3">
        <v>1</v>
      </c>
      <c r="C21" s="3" t="s">
        <v>318</v>
      </c>
    </row>
    <row r="22" spans="1:3" x14ac:dyDescent="0.2">
      <c r="A22" s="3" t="s">
        <v>303</v>
      </c>
      <c r="B22" s="3">
        <v>1</v>
      </c>
      <c r="C22" s="3" t="s">
        <v>318</v>
      </c>
    </row>
    <row r="23" spans="1:3" x14ac:dyDescent="0.2">
      <c r="A23" s="3" t="s">
        <v>304</v>
      </c>
      <c r="B23" s="3">
        <v>0.5</v>
      </c>
      <c r="C23" s="3" t="s">
        <v>322</v>
      </c>
    </row>
    <row r="24" spans="1:3" x14ac:dyDescent="0.2">
      <c r="A24" s="3" t="s">
        <v>305</v>
      </c>
      <c r="B24" s="3">
        <v>2</v>
      </c>
      <c r="C24" s="3" t="s">
        <v>319</v>
      </c>
    </row>
    <row r="25" spans="1:3" x14ac:dyDescent="0.2">
      <c r="A25" s="3" t="s">
        <v>306</v>
      </c>
      <c r="B25" s="3">
        <v>1</v>
      </c>
      <c r="C25" s="3"/>
    </row>
    <row r="26" spans="1:3" x14ac:dyDescent="0.2">
      <c r="A26" s="3" t="s">
        <v>377</v>
      </c>
      <c r="B26" s="3">
        <v>1</v>
      </c>
      <c r="C26" s="3"/>
    </row>
    <row r="27" spans="1:3" x14ac:dyDescent="0.2">
      <c r="A27" s="3" t="s">
        <v>308</v>
      </c>
      <c r="B27" s="3">
        <v>100</v>
      </c>
      <c r="C27" s="3" t="s">
        <v>320</v>
      </c>
    </row>
    <row r="28" spans="1:3" x14ac:dyDescent="0.2">
      <c r="A28" s="3" t="s">
        <v>309</v>
      </c>
      <c r="B28" s="3">
        <v>2</v>
      </c>
      <c r="C28" s="3" t="s">
        <v>321</v>
      </c>
    </row>
    <row r="29" spans="1:3" x14ac:dyDescent="0.2">
      <c r="A29" s="3" t="s">
        <v>49</v>
      </c>
      <c r="B29" s="3"/>
      <c r="C29" s="3"/>
    </row>
    <row r="30" spans="1:3" x14ac:dyDescent="0.2">
      <c r="A30" s="3" t="s">
        <v>307</v>
      </c>
      <c r="B30" s="3">
        <f>B24/B25</f>
        <v>2</v>
      </c>
      <c r="C30" s="3" t="s">
        <v>319</v>
      </c>
    </row>
    <row r="31" spans="1:3" x14ac:dyDescent="0.2">
      <c r="A31" s="3" t="s">
        <v>310</v>
      </c>
      <c r="B31" s="3">
        <f>B27*B28</f>
        <v>200</v>
      </c>
      <c r="C31" s="3" t="s">
        <v>327</v>
      </c>
    </row>
    <row r="32" spans="1:3" x14ac:dyDescent="0.2">
      <c r="A32" s="3" t="s">
        <v>73</v>
      </c>
      <c r="B32" s="3" t="str">
        <f>CONCATENATE("Concentration history at x=",B36," (meters) downgradient of source")</f>
        <v>Concentration history at x=5 (meters) downgradient of source</v>
      </c>
    </row>
    <row r="33" spans="1:5" x14ac:dyDescent="0.2">
      <c r="C33" s="3"/>
    </row>
    <row r="34" spans="1:5" x14ac:dyDescent="0.2">
      <c r="A34" s="3"/>
      <c r="B34" s="3"/>
      <c r="C34" s="3"/>
    </row>
    <row r="35" spans="1:5" x14ac:dyDescent="0.2">
      <c r="B35" s="3" t="s">
        <v>311</v>
      </c>
      <c r="C35" s="3" t="s">
        <v>312</v>
      </c>
      <c r="D35" s="3" t="s">
        <v>378</v>
      </c>
      <c r="E35" s="3" t="s">
        <v>328</v>
      </c>
    </row>
    <row r="36" spans="1:5" x14ac:dyDescent="0.2">
      <c r="B36" s="3">
        <v>5</v>
      </c>
      <c r="C36" s="3">
        <v>1E-4</v>
      </c>
      <c r="D36" s="3">
        <f>C36/$B$26</f>
        <v>1E-4</v>
      </c>
      <c r="E36">
        <f t="shared" ref="E36:E55" si="0">Impulse1d($B$27,$B$28,$B$25,1,$B$21,$B$23,$B$30,D36,1,$B36,0)</f>
        <v>0</v>
      </c>
    </row>
    <row r="37" spans="1:5" x14ac:dyDescent="0.2">
      <c r="B37" s="3">
        <f t="shared" ref="B37:B55" si="1">B36</f>
        <v>5</v>
      </c>
      <c r="C37" s="3">
        <f>C36+0.5</f>
        <v>0.50009999999999999</v>
      </c>
      <c r="D37" s="3">
        <f t="shared" ref="D37:D55" si="2">C37/$B$26</f>
        <v>0.50009999999999999</v>
      </c>
      <c r="E37">
        <f t="shared" si="0"/>
        <v>2.6827664764414151E-2</v>
      </c>
    </row>
    <row r="38" spans="1:5" x14ac:dyDescent="0.2">
      <c r="B38" s="3">
        <f t="shared" si="1"/>
        <v>5</v>
      </c>
      <c r="C38" s="3">
        <f t="shared" ref="C38:C53" si="3">C37+0.5</f>
        <v>1.0001</v>
      </c>
      <c r="D38" s="3">
        <f t="shared" si="2"/>
        <v>1.0001</v>
      </c>
      <c r="E38">
        <f t="shared" si="0"/>
        <v>5.9493393695737344</v>
      </c>
    </row>
    <row r="39" spans="1:5" x14ac:dyDescent="0.2">
      <c r="B39" s="3">
        <f t="shared" si="1"/>
        <v>5</v>
      </c>
      <c r="C39" s="3">
        <f t="shared" si="3"/>
        <v>1.5001</v>
      </c>
      <c r="D39" s="3">
        <f t="shared" si="2"/>
        <v>1.5001</v>
      </c>
      <c r="E39">
        <f t="shared" si="0"/>
        <v>23.654430874589877</v>
      </c>
    </row>
    <row r="40" spans="1:5" x14ac:dyDescent="0.2">
      <c r="B40" s="3">
        <f t="shared" si="1"/>
        <v>5</v>
      </c>
      <c r="C40" s="3">
        <f t="shared" si="3"/>
        <v>2.0000999999999998</v>
      </c>
      <c r="D40" s="3">
        <f t="shared" si="2"/>
        <v>2.0000999999999998</v>
      </c>
      <c r="E40">
        <f t="shared" si="0"/>
        <v>35.207632644725109</v>
      </c>
    </row>
    <row r="41" spans="1:5" x14ac:dyDescent="0.2">
      <c r="B41" s="3">
        <f t="shared" si="1"/>
        <v>5</v>
      </c>
      <c r="C41" s="3">
        <f t="shared" si="3"/>
        <v>2.5000999999999998</v>
      </c>
      <c r="D41" s="3">
        <f t="shared" si="2"/>
        <v>2.5000999999999998</v>
      </c>
      <c r="E41">
        <f t="shared" si="0"/>
        <v>35.681768552096372</v>
      </c>
    </row>
    <row r="42" spans="1:5" x14ac:dyDescent="0.2">
      <c r="B42" s="3">
        <f t="shared" si="1"/>
        <v>5</v>
      </c>
      <c r="C42" s="3">
        <f t="shared" si="3"/>
        <v>3.0000999999999998</v>
      </c>
      <c r="D42" s="3">
        <f t="shared" si="2"/>
        <v>3.0000999999999998</v>
      </c>
      <c r="E42">
        <f t="shared" si="0"/>
        <v>29.96765223641637</v>
      </c>
    </row>
    <row r="43" spans="1:5" x14ac:dyDescent="0.2">
      <c r="B43" s="3">
        <f t="shared" si="1"/>
        <v>5</v>
      </c>
      <c r="C43" s="3">
        <f t="shared" si="3"/>
        <v>3.5000999999999998</v>
      </c>
      <c r="D43" s="3">
        <f t="shared" si="2"/>
        <v>3.5000999999999998</v>
      </c>
      <c r="E43">
        <f t="shared" si="0"/>
        <v>22.661018611235519</v>
      </c>
    </row>
    <row r="44" spans="1:5" x14ac:dyDescent="0.2">
      <c r="B44" s="3">
        <f t="shared" si="1"/>
        <v>5</v>
      </c>
      <c r="C44" s="3">
        <f t="shared" si="3"/>
        <v>4.0000999999999998</v>
      </c>
      <c r="D44" s="3">
        <f t="shared" si="2"/>
        <v>4.0000999999999998</v>
      </c>
      <c r="E44">
        <f t="shared" si="0"/>
        <v>16.072096378777609</v>
      </c>
    </row>
    <row r="45" spans="1:5" x14ac:dyDescent="0.2">
      <c r="B45" s="3">
        <f t="shared" si="1"/>
        <v>5</v>
      </c>
      <c r="C45" s="3">
        <f t="shared" si="3"/>
        <v>4.5000999999999998</v>
      </c>
      <c r="D45" s="3">
        <f t="shared" si="2"/>
        <v>4.5000999999999998</v>
      </c>
      <c r="E45">
        <f t="shared" si="0"/>
        <v>10.933127587302376</v>
      </c>
    </row>
    <row r="46" spans="1:5" x14ac:dyDescent="0.2">
      <c r="B46" s="3">
        <f t="shared" si="1"/>
        <v>5</v>
      </c>
      <c r="C46" s="3">
        <f t="shared" si="3"/>
        <v>5.0000999999999998</v>
      </c>
      <c r="D46" s="3">
        <f t="shared" si="2"/>
        <v>5.0000999999999998</v>
      </c>
      <c r="E46">
        <f t="shared" si="0"/>
        <v>7.2282812738145772</v>
      </c>
    </row>
    <row r="47" spans="1:5" x14ac:dyDescent="0.2">
      <c r="B47" s="3">
        <f t="shared" si="1"/>
        <v>5</v>
      </c>
      <c r="C47" s="3">
        <f t="shared" si="3"/>
        <v>5.5000999999999998</v>
      </c>
      <c r="D47" s="3">
        <f t="shared" si="2"/>
        <v>5.5000999999999998</v>
      </c>
      <c r="E47">
        <f t="shared" si="0"/>
        <v>4.6831882619484961</v>
      </c>
    </row>
    <row r="48" spans="1:5" x14ac:dyDescent="0.2">
      <c r="B48" s="3">
        <f t="shared" si="1"/>
        <v>5</v>
      </c>
      <c r="C48" s="3">
        <f t="shared" si="3"/>
        <v>6.0000999999999998</v>
      </c>
      <c r="D48" s="3">
        <f t="shared" si="2"/>
        <v>6.0000999999999998</v>
      </c>
      <c r="E48">
        <f t="shared" si="0"/>
        <v>2.9896845176393865</v>
      </c>
    </row>
    <row r="49" spans="2:5" x14ac:dyDescent="0.2">
      <c r="B49" s="3">
        <f t="shared" si="1"/>
        <v>5</v>
      </c>
      <c r="C49" s="3">
        <f t="shared" si="3"/>
        <v>6.5000999999999998</v>
      </c>
      <c r="D49" s="3">
        <f t="shared" si="2"/>
        <v>6.5000999999999998</v>
      </c>
      <c r="E49">
        <f t="shared" si="0"/>
        <v>1.8875369790474366</v>
      </c>
    </row>
    <row r="50" spans="2:5" x14ac:dyDescent="0.2">
      <c r="B50" s="3">
        <f t="shared" si="1"/>
        <v>5</v>
      </c>
      <c r="C50" s="3">
        <f t="shared" si="3"/>
        <v>7.0000999999999998</v>
      </c>
      <c r="D50" s="3">
        <f t="shared" si="2"/>
        <v>7.0000999999999998</v>
      </c>
      <c r="E50">
        <f t="shared" si="0"/>
        <v>1.1816344861577091</v>
      </c>
    </row>
    <row r="51" spans="2:5" x14ac:dyDescent="0.2">
      <c r="B51" s="3">
        <f t="shared" si="1"/>
        <v>5</v>
      </c>
      <c r="C51" s="3">
        <f t="shared" si="3"/>
        <v>7.5000999999999998</v>
      </c>
      <c r="D51" s="3">
        <f t="shared" si="2"/>
        <v>7.5000999999999998</v>
      </c>
      <c r="E51">
        <f t="shared" si="0"/>
        <v>0.7348600866417172</v>
      </c>
    </row>
    <row r="52" spans="2:5" x14ac:dyDescent="0.2">
      <c r="B52" s="3">
        <f t="shared" si="1"/>
        <v>5</v>
      </c>
      <c r="C52" s="3">
        <f t="shared" si="3"/>
        <v>8.0000999999999998</v>
      </c>
      <c r="D52" s="3">
        <f t="shared" si="2"/>
        <v>8.0000999999999998</v>
      </c>
      <c r="E52">
        <f t="shared" si="0"/>
        <v>0.45463425782337519</v>
      </c>
    </row>
    <row r="53" spans="2:5" x14ac:dyDescent="0.2">
      <c r="B53" s="3">
        <f t="shared" si="1"/>
        <v>5</v>
      </c>
      <c r="C53" s="3">
        <f t="shared" si="3"/>
        <v>8.5000999999999998</v>
      </c>
      <c r="D53" s="3">
        <f t="shared" si="2"/>
        <v>8.5000999999999998</v>
      </c>
      <c r="E53">
        <f t="shared" si="0"/>
        <v>0.28009703333185332</v>
      </c>
    </row>
    <row r="54" spans="2:5" x14ac:dyDescent="0.2">
      <c r="B54" s="3">
        <f t="shared" si="1"/>
        <v>5</v>
      </c>
      <c r="C54" s="3">
        <f>C53+0.5</f>
        <v>9.0000999999999998</v>
      </c>
      <c r="D54" s="3">
        <f t="shared" si="2"/>
        <v>9.0000999999999998</v>
      </c>
      <c r="E54">
        <f t="shared" si="0"/>
        <v>0.17198477395402992</v>
      </c>
    </row>
    <row r="55" spans="2:5" x14ac:dyDescent="0.2">
      <c r="B55" s="3">
        <f t="shared" si="1"/>
        <v>5</v>
      </c>
      <c r="C55" s="3">
        <f>C54+0.5</f>
        <v>9.5000999999999998</v>
      </c>
      <c r="D55" s="3">
        <f t="shared" si="2"/>
        <v>9.5000999999999998</v>
      </c>
      <c r="E55">
        <f t="shared" si="0"/>
        <v>0.10531138657454227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65"/>
  <sheetViews>
    <sheetView workbookViewId="0">
      <selection activeCell="B10" sqref="B10"/>
    </sheetView>
  </sheetViews>
  <sheetFormatPr baseColWidth="10" defaultRowHeight="16" x14ac:dyDescent="0.2"/>
  <cols>
    <col min="1" max="1" width="21" style="22" customWidth="1"/>
    <col min="2" max="5" width="10.83203125" style="22"/>
    <col min="6" max="8" width="12.1640625" style="22" bestFit="1" customWidth="1"/>
    <col min="9" max="9" width="9.5" style="22" customWidth="1"/>
    <col min="10" max="16384" width="10.83203125" style="22"/>
  </cols>
  <sheetData>
    <row r="1" spans="1:9" x14ac:dyDescent="0.2">
      <c r="A1" s="20" t="s">
        <v>32</v>
      </c>
      <c r="B1" s="20" t="s">
        <v>357</v>
      </c>
      <c r="C1" s="20"/>
      <c r="D1" s="20"/>
      <c r="E1" s="20"/>
      <c r="F1" s="20"/>
      <c r="G1" s="20"/>
      <c r="H1" s="20"/>
      <c r="I1" s="20"/>
    </row>
    <row r="2" spans="1:9" x14ac:dyDescent="0.2">
      <c r="A2" s="20" t="s">
        <v>191</v>
      </c>
      <c r="B2" s="20" t="s">
        <v>208</v>
      </c>
      <c r="C2" s="20"/>
      <c r="D2" s="20"/>
      <c r="E2" s="20"/>
      <c r="F2" s="20"/>
      <c r="G2" s="20"/>
      <c r="H2" s="20"/>
      <c r="I2" s="20"/>
    </row>
    <row r="3" spans="1:9" x14ac:dyDescent="0.2">
      <c r="A3" s="20" t="s">
        <v>273</v>
      </c>
      <c r="B3" s="20">
        <v>1</v>
      </c>
      <c r="C3" s="20"/>
      <c r="D3" s="20"/>
      <c r="E3" s="20"/>
      <c r="F3" s="20"/>
      <c r="G3" s="20"/>
      <c r="H3" s="20"/>
      <c r="I3" s="20"/>
    </row>
    <row r="4" spans="1:9" x14ac:dyDescent="0.2">
      <c r="A4" s="20" t="s">
        <v>274</v>
      </c>
      <c r="B4" s="20" t="s">
        <v>19</v>
      </c>
      <c r="C4" s="20"/>
      <c r="D4" s="20"/>
      <c r="E4" s="20"/>
      <c r="F4" s="20"/>
      <c r="G4" s="20"/>
      <c r="H4" s="20"/>
      <c r="I4" s="20"/>
    </row>
    <row r="5" spans="1:9" x14ac:dyDescent="0.2">
      <c r="A5" s="20" t="s">
        <v>275</v>
      </c>
      <c r="B5" s="20" t="s">
        <v>19</v>
      </c>
      <c r="C5" s="20"/>
      <c r="D5" s="20"/>
      <c r="E5" s="20"/>
      <c r="F5" s="20"/>
      <c r="G5" s="20"/>
      <c r="H5" s="20"/>
      <c r="I5" s="20"/>
    </row>
    <row r="6" spans="1:9" x14ac:dyDescent="0.2">
      <c r="A6" s="20" t="s">
        <v>276</v>
      </c>
      <c r="B6" s="20" t="s">
        <v>325</v>
      </c>
      <c r="C6" s="20"/>
      <c r="D6" s="20"/>
      <c r="E6" s="20"/>
      <c r="F6" s="20"/>
      <c r="G6" s="20"/>
      <c r="H6" s="20"/>
      <c r="I6" s="20"/>
    </row>
    <row r="7" spans="1:9" x14ac:dyDescent="0.2">
      <c r="A7" s="20" t="s">
        <v>277</v>
      </c>
      <c r="B7" s="20" t="s">
        <v>24</v>
      </c>
      <c r="C7" s="20"/>
      <c r="D7" s="20"/>
      <c r="E7" s="20"/>
      <c r="F7" s="20"/>
      <c r="G7" s="20"/>
      <c r="H7" s="20"/>
      <c r="I7" s="20"/>
    </row>
    <row r="8" spans="1:9" x14ac:dyDescent="0.2">
      <c r="A8" s="20" t="s">
        <v>278</v>
      </c>
      <c r="B8" s="20" t="s">
        <v>26</v>
      </c>
      <c r="C8" s="20"/>
      <c r="D8" s="20"/>
      <c r="E8" s="20"/>
      <c r="F8" s="20"/>
      <c r="G8" s="20"/>
      <c r="H8" s="20"/>
      <c r="I8" s="20"/>
    </row>
    <row r="9" spans="1:9" x14ac:dyDescent="0.2">
      <c r="A9" s="20" t="s">
        <v>279</v>
      </c>
      <c r="B9" s="20" t="s">
        <v>19</v>
      </c>
      <c r="C9" s="20"/>
      <c r="D9" s="20"/>
      <c r="E9" s="20"/>
      <c r="F9" s="20"/>
      <c r="G9" s="20"/>
      <c r="H9" s="20"/>
      <c r="I9" s="20"/>
    </row>
    <row r="10" spans="1:9" x14ac:dyDescent="0.2">
      <c r="A10" s="20" t="s">
        <v>128</v>
      </c>
      <c r="B10" s="20" t="s">
        <v>29</v>
      </c>
      <c r="C10" s="20"/>
      <c r="D10" s="20"/>
      <c r="E10" s="20"/>
      <c r="F10" s="20"/>
      <c r="G10" s="20"/>
      <c r="H10" s="20"/>
      <c r="I10" s="20"/>
    </row>
    <row r="11" spans="1:9" x14ac:dyDescent="0.2">
      <c r="A11" s="20"/>
      <c r="B11" s="20"/>
      <c r="C11" s="20"/>
      <c r="D11" s="20"/>
      <c r="E11" s="20"/>
      <c r="F11" s="20"/>
      <c r="G11" s="20"/>
      <c r="H11" s="20"/>
      <c r="I11" s="20"/>
    </row>
    <row r="12" spans="1:9" x14ac:dyDescent="0.2">
      <c r="A12" s="20" t="s">
        <v>30</v>
      </c>
      <c r="B12" s="20" t="s">
        <v>379</v>
      </c>
      <c r="C12" s="20"/>
      <c r="D12" s="20"/>
      <c r="E12" s="20"/>
      <c r="F12" s="20"/>
      <c r="G12" s="20"/>
      <c r="H12" s="20"/>
      <c r="I12" s="20"/>
    </row>
    <row r="13" spans="1:9" x14ac:dyDescent="0.2">
      <c r="A13" s="20" t="s">
        <v>85</v>
      </c>
      <c r="B13" s="20" t="s">
        <v>86</v>
      </c>
      <c r="C13" s="20"/>
      <c r="D13" s="20"/>
      <c r="E13" s="20"/>
      <c r="F13" s="20"/>
      <c r="G13" s="20"/>
      <c r="H13" s="20"/>
      <c r="I13" s="20"/>
    </row>
    <row r="14" spans="1:9" x14ac:dyDescent="0.2">
      <c r="A14" s="20" t="s">
        <v>87</v>
      </c>
      <c r="B14" s="20" t="s">
        <v>88</v>
      </c>
      <c r="C14" s="20"/>
      <c r="D14" s="20"/>
      <c r="E14" s="20"/>
      <c r="F14" s="20"/>
      <c r="G14" s="20"/>
      <c r="H14" s="20"/>
      <c r="I14" s="20"/>
    </row>
    <row r="15" spans="1:9" x14ac:dyDescent="0.2">
      <c r="A15" s="20"/>
      <c r="B15" s="20" t="s">
        <v>89</v>
      </c>
    </row>
    <row r="16" spans="1:9" x14ac:dyDescent="0.2">
      <c r="A16" s="20"/>
      <c r="B16" s="20" t="s">
        <v>326</v>
      </c>
    </row>
    <row r="17" spans="1:9" x14ac:dyDescent="0.2">
      <c r="A17" s="20"/>
      <c r="B17" s="20"/>
    </row>
    <row r="18" spans="1:9" x14ac:dyDescent="0.2">
      <c r="A18" s="20"/>
      <c r="B18" s="20"/>
    </row>
    <row r="19" spans="1:9" x14ac:dyDescent="0.2">
      <c r="A19" s="20" t="s">
        <v>93</v>
      </c>
      <c r="B19" s="20" t="s">
        <v>131</v>
      </c>
    </row>
    <row r="21" spans="1:9" x14ac:dyDescent="0.2">
      <c r="A21" s="94" t="s">
        <v>33</v>
      </c>
      <c r="B21" s="95"/>
      <c r="C21" s="95"/>
      <c r="D21" s="95"/>
      <c r="E21" s="95"/>
      <c r="F21" s="95"/>
      <c r="G21" s="95"/>
      <c r="H21" s="95"/>
      <c r="I21" s="96"/>
    </row>
    <row r="22" spans="1:9" x14ac:dyDescent="0.2">
      <c r="A22" s="66" t="s">
        <v>34</v>
      </c>
      <c r="B22" s="65">
        <v>1000</v>
      </c>
      <c r="C22" s="65" t="s">
        <v>35</v>
      </c>
      <c r="D22" s="65"/>
      <c r="E22" s="65"/>
      <c r="F22" s="65" t="s">
        <v>331</v>
      </c>
      <c r="G22" s="65"/>
      <c r="H22" s="65"/>
      <c r="I22" s="65"/>
    </row>
    <row r="23" spans="1:9" x14ac:dyDescent="0.2">
      <c r="A23" s="66" t="s">
        <v>36</v>
      </c>
      <c r="B23" s="65">
        <v>10</v>
      </c>
      <c r="C23" s="65" t="s">
        <v>37</v>
      </c>
      <c r="D23" s="65"/>
      <c r="E23" s="65"/>
      <c r="F23" s="65" t="s">
        <v>38</v>
      </c>
      <c r="G23" s="65"/>
      <c r="H23" s="65"/>
      <c r="I23" s="65"/>
    </row>
    <row r="24" spans="1:9" x14ac:dyDescent="0.2">
      <c r="A24" s="66" t="s">
        <v>39</v>
      </c>
      <c r="B24" s="65">
        <v>0.5</v>
      </c>
      <c r="C24" s="65" t="s">
        <v>40</v>
      </c>
      <c r="D24" s="65"/>
      <c r="E24" s="65"/>
      <c r="F24" s="65"/>
      <c r="G24" s="65"/>
      <c r="H24" s="65"/>
      <c r="I24" s="65"/>
    </row>
    <row r="25" spans="1:9" x14ac:dyDescent="0.2">
      <c r="A25" s="66" t="s">
        <v>41</v>
      </c>
      <c r="B25" s="65">
        <v>10</v>
      </c>
      <c r="C25" s="65" t="s">
        <v>42</v>
      </c>
      <c r="D25" s="65"/>
      <c r="E25" s="65"/>
      <c r="F25" s="65" t="s">
        <v>332</v>
      </c>
      <c r="G25" s="65"/>
      <c r="H25" s="65"/>
      <c r="I25" s="65"/>
    </row>
    <row r="26" spans="1:9" x14ac:dyDescent="0.2">
      <c r="A26" s="84" t="s">
        <v>380</v>
      </c>
      <c r="B26" s="85">
        <v>2</v>
      </c>
      <c r="C26" s="85" t="s">
        <v>381</v>
      </c>
      <c r="D26" s="83"/>
      <c r="E26" s="83"/>
      <c r="F26" s="83"/>
      <c r="G26" s="65"/>
      <c r="H26" s="65"/>
      <c r="I26" s="65"/>
    </row>
    <row r="27" spans="1:9" x14ac:dyDescent="0.2">
      <c r="A27" s="91" t="s">
        <v>49</v>
      </c>
      <c r="B27" s="92"/>
      <c r="C27" s="92"/>
      <c r="D27" s="92"/>
      <c r="E27" s="92"/>
      <c r="F27" s="92"/>
      <c r="G27" s="92"/>
      <c r="H27" s="92"/>
      <c r="I27" s="93"/>
    </row>
    <row r="28" spans="1:9" x14ac:dyDescent="0.2">
      <c r="A28" s="67" t="s">
        <v>50</v>
      </c>
      <c r="B28" s="64">
        <f>B23/B24</f>
        <v>20</v>
      </c>
      <c r="C28" s="64" t="s">
        <v>51</v>
      </c>
      <c r="D28" s="64"/>
      <c r="E28" s="64"/>
      <c r="F28" s="64" t="s">
        <v>38</v>
      </c>
      <c r="G28" s="64"/>
      <c r="H28" s="64"/>
      <c r="I28" s="64"/>
    </row>
    <row r="29" spans="1:9" x14ac:dyDescent="0.2">
      <c r="A29" s="67" t="s">
        <v>52</v>
      </c>
      <c r="B29" s="64">
        <f>B28/B25</f>
        <v>2</v>
      </c>
      <c r="C29" s="64"/>
      <c r="D29" s="64"/>
      <c r="E29" s="64"/>
      <c r="F29" s="69" t="s">
        <v>333</v>
      </c>
      <c r="G29" s="64"/>
      <c r="H29" s="64"/>
      <c r="I29" s="64"/>
    </row>
    <row r="30" spans="1:9" x14ac:dyDescent="0.2">
      <c r="A30" s="67" t="s">
        <v>73</v>
      </c>
      <c r="B30" s="64" t="str">
        <f>CONCATENATE("Concentration history at x= ",A36," (meters) downgradient of source zone ")</f>
        <v xml:space="preserve">Concentration history at x= 100 (meters) downgradient of source zone </v>
      </c>
      <c r="C30" s="64"/>
      <c r="D30" s="64"/>
      <c r="E30" s="64"/>
      <c r="F30" s="64"/>
      <c r="G30" s="64"/>
      <c r="H30" s="64"/>
      <c r="I30" s="64"/>
    </row>
    <row r="31" spans="1:9" x14ac:dyDescent="0.2">
      <c r="F31" s="20"/>
      <c r="G31" s="20"/>
      <c r="H31" s="20"/>
      <c r="I31" s="20"/>
    </row>
    <row r="32" spans="1:9" x14ac:dyDescent="0.2">
      <c r="F32" s="20"/>
      <c r="G32" s="20"/>
      <c r="H32" s="20"/>
      <c r="I32" s="20"/>
    </row>
    <row r="33" spans="1:10" x14ac:dyDescent="0.2">
      <c r="A33" s="20"/>
      <c r="C33" s="20"/>
      <c r="D33" s="58"/>
      <c r="E33" s="59"/>
      <c r="F33" s="59" t="s">
        <v>53</v>
      </c>
      <c r="G33" s="59"/>
      <c r="H33" s="59"/>
      <c r="I33" s="60"/>
      <c r="J33" s="20" t="s">
        <v>109</v>
      </c>
    </row>
    <row r="34" spans="1:10" x14ac:dyDescent="0.2">
      <c r="A34" s="20" t="s">
        <v>54</v>
      </c>
      <c r="C34" s="20"/>
      <c r="D34" s="61" t="s">
        <v>55</v>
      </c>
      <c r="E34" s="62" t="s">
        <v>56</v>
      </c>
      <c r="F34" s="62" t="s">
        <v>57</v>
      </c>
      <c r="G34" s="62" t="s">
        <v>58</v>
      </c>
      <c r="H34" s="62" t="s">
        <v>59</v>
      </c>
      <c r="I34" s="63" t="s">
        <v>60</v>
      </c>
      <c r="J34" s="27" t="s">
        <v>61</v>
      </c>
    </row>
    <row r="35" spans="1:10" ht="91" x14ac:dyDescent="0.2">
      <c r="A35" s="30" t="s">
        <v>62</v>
      </c>
      <c r="B35" s="30" t="s">
        <v>63</v>
      </c>
      <c r="C35" s="87" t="s">
        <v>382</v>
      </c>
      <c r="D35" s="31" t="s">
        <v>64</v>
      </c>
      <c r="E35" s="32" t="s">
        <v>65</v>
      </c>
      <c r="F35" s="32" t="s">
        <v>66</v>
      </c>
      <c r="G35" s="32" t="s">
        <v>67</v>
      </c>
      <c r="H35" s="32" t="s">
        <v>68</v>
      </c>
      <c r="I35" s="33" t="s">
        <v>69</v>
      </c>
      <c r="J35" s="30" t="s">
        <v>117</v>
      </c>
    </row>
    <row r="36" spans="1:10" x14ac:dyDescent="0.2">
      <c r="A36" s="68">
        <v>100</v>
      </c>
      <c r="B36" s="68">
        <v>1</v>
      </c>
      <c r="C36" s="86">
        <f>B36/$B$26</f>
        <v>0.5</v>
      </c>
      <c r="D36" s="20">
        <f t="shared" ref="D36:D65" si="0">A36-$B$28*C36</f>
        <v>90</v>
      </c>
      <c r="E36" s="20">
        <f t="shared" ref="E36:E65" si="1">A36+$B$28*C36</f>
        <v>110</v>
      </c>
      <c r="F36" s="20">
        <f t="shared" ref="F36:F65" si="2">2*SQRT($B$25*C36)</f>
        <v>4.4721359549995796</v>
      </c>
      <c r="G36" s="22">
        <f>ERFC(D36/F36)</f>
        <v>3.6132487411596105E-178</v>
      </c>
      <c r="H36" s="22">
        <f>ERFC(E36/F36)</f>
        <v>4.0928670955040227E-265</v>
      </c>
      <c r="I36" s="22">
        <f t="shared" ref="I36:I65" si="3">EXP($B$29*A36)</f>
        <v>7.225973768125749E+86</v>
      </c>
      <c r="J36" s="20">
        <f t="shared" ref="J36:J65" si="4">0.5*$B$22*(G36+I36*H36)</f>
        <v>3.2853718840066599E-175</v>
      </c>
    </row>
    <row r="37" spans="1:10" x14ac:dyDescent="0.2">
      <c r="A37" s="20">
        <v>100</v>
      </c>
      <c r="B37" s="68">
        <f>B36+1</f>
        <v>2</v>
      </c>
      <c r="C37" s="86">
        <f t="shared" ref="C37:C65" si="5">B37/$B$26</f>
        <v>1</v>
      </c>
      <c r="D37" s="20">
        <f t="shared" si="0"/>
        <v>80</v>
      </c>
      <c r="E37" s="20">
        <f t="shared" si="1"/>
        <v>120</v>
      </c>
      <c r="F37" s="20">
        <f t="shared" si="2"/>
        <v>6.324555320336759</v>
      </c>
      <c r="G37" s="22">
        <f t="shared" ref="G37:G65" si="6">ERFC(D37/F37)</f>
        <v>1.4484424372737355E-71</v>
      </c>
      <c r="H37" s="22">
        <f t="shared" ref="H37:H65" si="7">ERFC(E37/F37)</f>
        <v>1.338625893657619E-158</v>
      </c>
      <c r="I37" s="22">
        <f t="shared" si="3"/>
        <v>7.225973768125749E+86</v>
      </c>
      <c r="J37" s="20">
        <f t="shared" si="4"/>
        <v>1.20786499828206E-68</v>
      </c>
    </row>
    <row r="38" spans="1:10" x14ac:dyDescent="0.2">
      <c r="A38" s="20">
        <v>100</v>
      </c>
      <c r="B38" s="68">
        <f t="shared" ref="B38:B65" si="8">B37+1</f>
        <v>3</v>
      </c>
      <c r="C38" s="86">
        <f t="shared" si="5"/>
        <v>1.5</v>
      </c>
      <c r="D38" s="20">
        <f t="shared" si="0"/>
        <v>70</v>
      </c>
      <c r="E38" s="20">
        <f t="shared" si="1"/>
        <v>130</v>
      </c>
      <c r="F38" s="20">
        <f t="shared" si="2"/>
        <v>7.745966692414834</v>
      </c>
      <c r="G38" s="22">
        <f t="shared" si="6"/>
        <v>2.1154391337483472E-37</v>
      </c>
      <c r="H38" s="22">
        <f t="shared" si="7"/>
        <v>1.5831086501565945E-124</v>
      </c>
      <c r="I38" s="22">
        <f t="shared" si="3"/>
        <v>7.225973768125749E+86</v>
      </c>
      <c r="J38" s="20">
        <f t="shared" si="4"/>
        <v>1.6296946457803995E-34</v>
      </c>
    </row>
    <row r="39" spans="1:10" x14ac:dyDescent="0.2">
      <c r="A39" s="20">
        <v>100</v>
      </c>
      <c r="B39" s="68">
        <f t="shared" si="8"/>
        <v>4</v>
      </c>
      <c r="C39" s="86">
        <f t="shared" si="5"/>
        <v>2</v>
      </c>
      <c r="D39" s="20">
        <f t="shared" si="0"/>
        <v>60</v>
      </c>
      <c r="E39" s="20">
        <f t="shared" si="1"/>
        <v>140</v>
      </c>
      <c r="F39" s="20">
        <f t="shared" si="2"/>
        <v>8.9442719099991592</v>
      </c>
      <c r="G39" s="22">
        <f t="shared" si="6"/>
        <v>2.3816001643963165E-21</v>
      </c>
      <c r="H39" s="22">
        <f t="shared" si="7"/>
        <v>1.4249909856380302E-108</v>
      </c>
      <c r="I39" s="22">
        <f t="shared" si="3"/>
        <v>7.225973768125749E+86</v>
      </c>
      <c r="J39" s="20">
        <f t="shared" si="4"/>
        <v>1.7056474562999613E-18</v>
      </c>
    </row>
    <row r="40" spans="1:10" x14ac:dyDescent="0.2">
      <c r="A40" s="20">
        <v>100</v>
      </c>
      <c r="B40" s="68">
        <f t="shared" si="8"/>
        <v>5</v>
      </c>
      <c r="C40" s="86">
        <f t="shared" si="5"/>
        <v>2.5</v>
      </c>
      <c r="D40" s="20">
        <f t="shared" si="0"/>
        <v>50</v>
      </c>
      <c r="E40" s="20">
        <f t="shared" si="1"/>
        <v>150</v>
      </c>
      <c r="F40" s="20">
        <f t="shared" si="2"/>
        <v>10</v>
      </c>
      <c r="G40" s="22">
        <f t="shared" si="6"/>
        <v>1.5374597944280339E-12</v>
      </c>
      <c r="H40" s="22">
        <f t="shared" si="7"/>
        <v>7.2129941724512089E-100</v>
      </c>
      <c r="I40" s="22">
        <f t="shared" si="3"/>
        <v>7.225973768125749E+86</v>
      </c>
      <c r="J40" s="20">
        <f t="shared" si="4"/>
        <v>1.0293344306128985E-9</v>
      </c>
    </row>
    <row r="41" spans="1:10" x14ac:dyDescent="0.2">
      <c r="A41" s="20">
        <v>100</v>
      </c>
      <c r="B41" s="68">
        <f t="shared" si="8"/>
        <v>6</v>
      </c>
      <c r="C41" s="86">
        <f t="shared" si="5"/>
        <v>3</v>
      </c>
      <c r="D41" s="20">
        <f t="shared" si="0"/>
        <v>40</v>
      </c>
      <c r="E41" s="20">
        <f t="shared" si="1"/>
        <v>160</v>
      </c>
      <c r="F41" s="20">
        <f t="shared" si="2"/>
        <v>10.954451150103322</v>
      </c>
      <c r="G41" s="22">
        <f t="shared" si="6"/>
        <v>2.4175638811190194E-7</v>
      </c>
      <c r="H41" s="22">
        <f t="shared" si="7"/>
        <v>8.6376231022661465E-95</v>
      </c>
      <c r="I41" s="22">
        <f t="shared" si="3"/>
        <v>7.225973768125749E+86</v>
      </c>
      <c r="J41" s="20">
        <f t="shared" si="4"/>
        <v>1.5208581303391704E-4</v>
      </c>
    </row>
    <row r="42" spans="1:10" x14ac:dyDescent="0.2">
      <c r="A42" s="20">
        <v>100</v>
      </c>
      <c r="B42" s="68">
        <f t="shared" si="8"/>
        <v>7</v>
      </c>
      <c r="C42" s="86">
        <f t="shared" si="5"/>
        <v>3.5</v>
      </c>
      <c r="D42" s="20">
        <f t="shared" si="0"/>
        <v>30</v>
      </c>
      <c r="E42" s="20">
        <f t="shared" si="1"/>
        <v>170</v>
      </c>
      <c r="F42" s="20">
        <f t="shared" si="2"/>
        <v>11.832159566199232</v>
      </c>
      <c r="G42" s="22">
        <f t="shared" si="6"/>
        <v>3.3619350474802542E-4</v>
      </c>
      <c r="H42" s="22">
        <f t="shared" si="7"/>
        <v>8.753969963282886E-92</v>
      </c>
      <c r="I42" s="22">
        <f t="shared" si="3"/>
        <v>7.225973768125749E+86</v>
      </c>
      <c r="J42" s="20">
        <f t="shared" si="4"/>
        <v>0.19972473103483415</v>
      </c>
    </row>
    <row r="43" spans="1:10" x14ac:dyDescent="0.2">
      <c r="A43" s="20">
        <v>100</v>
      </c>
      <c r="B43" s="68">
        <f t="shared" si="8"/>
        <v>8</v>
      </c>
      <c r="C43" s="86">
        <f t="shared" si="5"/>
        <v>4</v>
      </c>
      <c r="D43" s="20">
        <f t="shared" si="0"/>
        <v>20</v>
      </c>
      <c r="E43" s="20">
        <f t="shared" si="1"/>
        <v>180</v>
      </c>
      <c r="F43" s="20">
        <f t="shared" si="2"/>
        <v>12.649110640673518</v>
      </c>
      <c r="G43" s="22">
        <f t="shared" si="6"/>
        <v>2.5347318677468273E-2</v>
      </c>
      <c r="H43" s="22">
        <f t="shared" si="7"/>
        <v>4.4927698587234135E-90</v>
      </c>
      <c r="I43" s="22">
        <f t="shared" si="3"/>
        <v>7.225973768125749E+86</v>
      </c>
      <c r="J43" s="20">
        <f t="shared" si="4"/>
        <v>14.296891196002207</v>
      </c>
    </row>
    <row r="44" spans="1:10" x14ac:dyDescent="0.2">
      <c r="A44" s="20">
        <v>100</v>
      </c>
      <c r="B44" s="68">
        <f t="shared" si="8"/>
        <v>9</v>
      </c>
      <c r="C44" s="86">
        <f t="shared" si="5"/>
        <v>4.5</v>
      </c>
      <c r="D44" s="20">
        <f t="shared" si="0"/>
        <v>10</v>
      </c>
      <c r="E44" s="20">
        <f t="shared" si="1"/>
        <v>190</v>
      </c>
      <c r="F44" s="20">
        <f t="shared" si="2"/>
        <v>13.416407864998739</v>
      </c>
      <c r="G44" s="22">
        <f t="shared" si="6"/>
        <v>0.29184054514378854</v>
      </c>
      <c r="H44" s="22">
        <f t="shared" si="7"/>
        <v>3.1554446063661143E-89</v>
      </c>
      <c r="I44" s="22">
        <f t="shared" si="3"/>
        <v>7.225973768125749E+86</v>
      </c>
      <c r="J44" s="20">
        <f t="shared" si="4"/>
        <v>157.32085254808197</v>
      </c>
    </row>
    <row r="45" spans="1:10" x14ac:dyDescent="0.2">
      <c r="A45" s="20">
        <v>100</v>
      </c>
      <c r="B45" s="68">
        <f t="shared" si="8"/>
        <v>10</v>
      </c>
      <c r="C45" s="86">
        <f t="shared" si="5"/>
        <v>5</v>
      </c>
      <c r="D45" s="20">
        <f t="shared" si="0"/>
        <v>0</v>
      </c>
      <c r="E45" s="20">
        <f t="shared" si="1"/>
        <v>200</v>
      </c>
      <c r="F45" s="20">
        <f t="shared" si="2"/>
        <v>14.142135623730951</v>
      </c>
      <c r="G45" s="22">
        <f t="shared" si="6"/>
        <v>1</v>
      </c>
      <c r="H45" s="22">
        <f t="shared" si="7"/>
        <v>5.5072482372126265E-89</v>
      </c>
      <c r="I45" s="22">
        <f t="shared" si="3"/>
        <v>7.225973768125749E+86</v>
      </c>
      <c r="J45" s="20">
        <f t="shared" si="4"/>
        <v>519.89761564832759</v>
      </c>
    </row>
    <row r="46" spans="1:10" x14ac:dyDescent="0.2">
      <c r="A46" s="20">
        <v>100</v>
      </c>
      <c r="B46" s="68">
        <f t="shared" si="8"/>
        <v>11</v>
      </c>
      <c r="C46" s="86">
        <f t="shared" si="5"/>
        <v>5.5</v>
      </c>
      <c r="D46" s="20">
        <f t="shared" si="0"/>
        <v>-10</v>
      </c>
      <c r="E46" s="20">
        <f t="shared" si="1"/>
        <v>210</v>
      </c>
      <c r="F46" s="20">
        <f t="shared" si="2"/>
        <v>14.832396974191326</v>
      </c>
      <c r="G46" s="22">
        <f t="shared" si="6"/>
        <v>1.6596442576147983</v>
      </c>
      <c r="H46" s="22">
        <f t="shared" si="7"/>
        <v>3.4917050033187941E-89</v>
      </c>
      <c r="I46" s="22">
        <f t="shared" si="3"/>
        <v>7.225973768125749E+86</v>
      </c>
      <c r="J46" s="20">
        <f t="shared" si="4"/>
        <v>842.43761318740667</v>
      </c>
    </row>
    <row r="47" spans="1:10" x14ac:dyDescent="0.2">
      <c r="A47" s="20">
        <v>100</v>
      </c>
      <c r="B47" s="68">
        <f t="shared" si="8"/>
        <v>12</v>
      </c>
      <c r="C47" s="86">
        <f t="shared" si="5"/>
        <v>6</v>
      </c>
      <c r="D47" s="20">
        <f t="shared" si="0"/>
        <v>-20</v>
      </c>
      <c r="E47" s="20">
        <f t="shared" si="1"/>
        <v>220</v>
      </c>
      <c r="F47" s="20">
        <f t="shared" si="2"/>
        <v>15.491933384829668</v>
      </c>
      <c r="G47" s="22">
        <f t="shared" si="6"/>
        <v>1.932110845138171</v>
      </c>
      <c r="H47" s="22">
        <f t="shared" si="7"/>
        <v>1.0358987697303772E-89</v>
      </c>
      <c r="I47" s="22">
        <f t="shared" si="3"/>
        <v>7.225973768125749E+86</v>
      </c>
      <c r="J47" s="20">
        <f t="shared" si="4"/>
        <v>969.79811123733816</v>
      </c>
    </row>
    <row r="48" spans="1:10" x14ac:dyDescent="0.2">
      <c r="A48" s="20">
        <v>100</v>
      </c>
      <c r="B48" s="68">
        <f t="shared" si="8"/>
        <v>13</v>
      </c>
      <c r="C48" s="86">
        <f t="shared" si="5"/>
        <v>6.5</v>
      </c>
      <c r="D48" s="20">
        <f t="shared" si="0"/>
        <v>-30</v>
      </c>
      <c r="E48" s="20">
        <f t="shared" si="1"/>
        <v>230</v>
      </c>
      <c r="F48" s="20">
        <f t="shared" si="2"/>
        <v>16.124515496597098</v>
      </c>
      <c r="G48" s="22">
        <f t="shared" si="6"/>
        <v>1.9914909555951388</v>
      </c>
      <c r="H48" s="22">
        <f t="shared" si="7"/>
        <v>1.713561447728931E-90</v>
      </c>
      <c r="I48" s="22">
        <f t="shared" si="3"/>
        <v>7.225973768125749E+86</v>
      </c>
      <c r="J48" s="20">
        <f t="shared" si="4"/>
        <v>996.36458530113748</v>
      </c>
    </row>
    <row r="49" spans="1:10" x14ac:dyDescent="0.2">
      <c r="A49" s="20">
        <v>100</v>
      </c>
      <c r="B49" s="68">
        <f t="shared" si="8"/>
        <v>14</v>
      </c>
      <c r="C49" s="86">
        <f t="shared" si="5"/>
        <v>7</v>
      </c>
      <c r="D49" s="20">
        <f t="shared" si="0"/>
        <v>-40</v>
      </c>
      <c r="E49" s="20">
        <f t="shared" si="1"/>
        <v>240</v>
      </c>
      <c r="F49" s="20">
        <f t="shared" si="2"/>
        <v>16.733200530681511</v>
      </c>
      <c r="G49" s="22">
        <f t="shared" si="6"/>
        <v>1.9992767672835698</v>
      </c>
      <c r="H49" s="22">
        <f t="shared" si="7"/>
        <v>1.7912840747293552E-91</v>
      </c>
      <c r="I49" s="22">
        <f t="shared" si="3"/>
        <v>7.225973768125749E+86</v>
      </c>
      <c r="J49" s="20">
        <f t="shared" si="4"/>
        <v>999.70310250046123</v>
      </c>
    </row>
    <row r="50" spans="1:10" x14ac:dyDescent="0.2">
      <c r="A50" s="20">
        <v>100</v>
      </c>
      <c r="B50" s="68">
        <f t="shared" si="8"/>
        <v>15</v>
      </c>
      <c r="C50" s="86">
        <f t="shared" si="5"/>
        <v>7.5</v>
      </c>
      <c r="D50" s="20">
        <f t="shared" si="0"/>
        <v>-50</v>
      </c>
      <c r="E50" s="20">
        <f t="shared" si="1"/>
        <v>250</v>
      </c>
      <c r="F50" s="20">
        <f t="shared" si="2"/>
        <v>17.320508075688775</v>
      </c>
      <c r="G50" s="22">
        <f t="shared" si="6"/>
        <v>1.999955442909396</v>
      </c>
      <c r="H50" s="22">
        <f t="shared" si="7"/>
        <v>1.2971568501090878E-92</v>
      </c>
      <c r="I50" s="22">
        <f t="shared" si="3"/>
        <v>7.225973768125749E+86</v>
      </c>
      <c r="J50" s="20">
        <f t="shared" si="4"/>
        <v>999.98240806538399</v>
      </c>
    </row>
    <row r="51" spans="1:10" x14ac:dyDescent="0.2">
      <c r="A51" s="20">
        <v>100</v>
      </c>
      <c r="B51" s="68">
        <f t="shared" si="8"/>
        <v>16</v>
      </c>
      <c r="C51" s="86">
        <f t="shared" si="5"/>
        <v>8</v>
      </c>
      <c r="D51" s="20">
        <f t="shared" si="0"/>
        <v>-60</v>
      </c>
      <c r="E51" s="20">
        <f t="shared" si="1"/>
        <v>260</v>
      </c>
      <c r="F51" s="20">
        <f t="shared" si="2"/>
        <v>17.888543819998318</v>
      </c>
      <c r="G51" s="22">
        <f t="shared" si="6"/>
        <v>1.9999978985640441</v>
      </c>
      <c r="H51" s="22">
        <f t="shared" si="7"/>
        <v>6.971006687134708E-94</v>
      </c>
      <c r="I51" s="22">
        <f t="shared" si="3"/>
        <v>7.225973768125749E+86</v>
      </c>
      <c r="J51" s="20">
        <f t="shared" si="4"/>
        <v>999.99920114357928</v>
      </c>
    </row>
    <row r="52" spans="1:10" x14ac:dyDescent="0.2">
      <c r="A52" s="20">
        <v>100</v>
      </c>
      <c r="B52" s="68">
        <f t="shared" si="8"/>
        <v>17</v>
      </c>
      <c r="C52" s="86">
        <f t="shared" si="5"/>
        <v>8.5</v>
      </c>
      <c r="D52" s="20">
        <f t="shared" si="0"/>
        <v>-70</v>
      </c>
      <c r="E52" s="20">
        <f t="shared" si="1"/>
        <v>270</v>
      </c>
      <c r="F52" s="20">
        <f t="shared" si="2"/>
        <v>18.439088914585774</v>
      </c>
      <c r="G52" s="22">
        <f t="shared" si="6"/>
        <v>1.9999999207179318</v>
      </c>
      <c r="H52" s="22">
        <f t="shared" si="7"/>
        <v>2.9305394394403254E-95</v>
      </c>
      <c r="I52" s="22">
        <f t="shared" si="3"/>
        <v>7.225973768125749E+86</v>
      </c>
      <c r="J52" s="20">
        <f t="shared" si="4"/>
        <v>999.99997094696641</v>
      </c>
    </row>
    <row r="53" spans="1:10" x14ac:dyDescent="0.2">
      <c r="A53" s="20">
        <v>100</v>
      </c>
      <c r="B53" s="68">
        <f t="shared" si="8"/>
        <v>18</v>
      </c>
      <c r="C53" s="86">
        <f t="shared" si="5"/>
        <v>9</v>
      </c>
      <c r="D53" s="20">
        <f t="shared" si="0"/>
        <v>-80</v>
      </c>
      <c r="E53" s="20">
        <f t="shared" si="1"/>
        <v>280</v>
      </c>
      <c r="F53" s="20">
        <f t="shared" si="2"/>
        <v>18.973665961010276</v>
      </c>
      <c r="G53" s="22">
        <f t="shared" si="6"/>
        <v>1.9999999975212093</v>
      </c>
      <c r="H53" s="22">
        <f t="shared" si="7"/>
        <v>1.0040137658248164E-96</v>
      </c>
      <c r="I53" s="22">
        <f t="shared" si="3"/>
        <v>7.225973768125749E+86</v>
      </c>
      <c r="J53" s="20">
        <f t="shared" si="4"/>
        <v>999.99999912335352</v>
      </c>
    </row>
    <row r="54" spans="1:10" x14ac:dyDescent="0.2">
      <c r="A54" s="20">
        <v>100</v>
      </c>
      <c r="B54" s="68">
        <f t="shared" si="8"/>
        <v>19</v>
      </c>
      <c r="C54" s="86">
        <f t="shared" si="5"/>
        <v>9.5</v>
      </c>
      <c r="D54" s="20">
        <f t="shared" si="0"/>
        <v>-90</v>
      </c>
      <c r="E54" s="20">
        <f t="shared" si="1"/>
        <v>290</v>
      </c>
      <c r="F54" s="20">
        <f t="shared" si="2"/>
        <v>19.493588689617926</v>
      </c>
      <c r="G54" s="22">
        <f t="shared" si="6"/>
        <v>1.9999999999339162</v>
      </c>
      <c r="H54" s="22">
        <f t="shared" si="7"/>
        <v>2.8954565604471611E-98</v>
      </c>
      <c r="I54" s="22">
        <f t="shared" si="3"/>
        <v>7.225973768125749E+86</v>
      </c>
      <c r="J54" s="20">
        <f t="shared" si="4"/>
        <v>999.99999997741941</v>
      </c>
    </row>
    <row r="55" spans="1:10" x14ac:dyDescent="0.2">
      <c r="A55" s="20">
        <v>100</v>
      </c>
      <c r="B55" s="68">
        <f t="shared" si="8"/>
        <v>20</v>
      </c>
      <c r="C55" s="86">
        <f t="shared" si="5"/>
        <v>10</v>
      </c>
      <c r="D55" s="20">
        <f t="shared" si="0"/>
        <v>-100</v>
      </c>
      <c r="E55" s="20">
        <f t="shared" si="1"/>
        <v>300</v>
      </c>
      <c r="F55" s="20">
        <f t="shared" si="2"/>
        <v>20</v>
      </c>
      <c r="G55" s="22">
        <f t="shared" si="6"/>
        <v>1.9999999999984626</v>
      </c>
      <c r="H55" s="22">
        <f t="shared" si="7"/>
        <v>7.2129941724512089E-100</v>
      </c>
      <c r="I55" s="22">
        <f t="shared" si="3"/>
        <v>7.225973768125749E+86</v>
      </c>
      <c r="J55" s="20">
        <f t="shared" si="4"/>
        <v>999.99999999949182</v>
      </c>
    </row>
    <row r="56" spans="1:10" x14ac:dyDescent="0.2">
      <c r="A56" s="20">
        <v>100</v>
      </c>
      <c r="B56" s="68">
        <f t="shared" si="8"/>
        <v>21</v>
      </c>
      <c r="C56" s="86">
        <f t="shared" si="5"/>
        <v>10.5</v>
      </c>
      <c r="D56" s="20">
        <f t="shared" si="0"/>
        <v>-110</v>
      </c>
      <c r="E56" s="20">
        <f t="shared" si="1"/>
        <v>310</v>
      </c>
      <c r="F56" s="20">
        <f t="shared" si="2"/>
        <v>20.493901531919196</v>
      </c>
      <c r="G56" s="22">
        <f t="shared" si="6"/>
        <v>1.9999999999999682</v>
      </c>
      <c r="H56" s="22">
        <f t="shared" si="7"/>
        <v>1.5850045621716571E-101</v>
      </c>
      <c r="I56" s="22">
        <f t="shared" si="3"/>
        <v>7.225973768125749E+86</v>
      </c>
      <c r="J56" s="20">
        <f t="shared" si="4"/>
        <v>999.99999999998988</v>
      </c>
    </row>
    <row r="57" spans="1:10" x14ac:dyDescent="0.2">
      <c r="A57" s="20">
        <v>100</v>
      </c>
      <c r="B57" s="68">
        <f t="shared" si="8"/>
        <v>22</v>
      </c>
      <c r="C57" s="86">
        <f t="shared" si="5"/>
        <v>11</v>
      </c>
      <c r="D57" s="20">
        <f t="shared" si="0"/>
        <v>-120</v>
      </c>
      <c r="E57" s="20">
        <f t="shared" si="1"/>
        <v>320</v>
      </c>
      <c r="F57" s="20">
        <f t="shared" si="2"/>
        <v>20.976176963403031</v>
      </c>
      <c r="G57" s="22">
        <f t="shared" si="6"/>
        <v>1.9999999999999993</v>
      </c>
      <c r="H57" s="22">
        <f t="shared" si="7"/>
        <v>3.1253811924972851E-103</v>
      </c>
      <c r="I57" s="22">
        <f t="shared" si="3"/>
        <v>7.225973768125749E+86</v>
      </c>
      <c r="J57" s="20">
        <f t="shared" si="4"/>
        <v>999.99999999999977</v>
      </c>
    </row>
    <row r="58" spans="1:10" x14ac:dyDescent="0.2">
      <c r="A58" s="20">
        <v>100</v>
      </c>
      <c r="B58" s="68">
        <f t="shared" si="8"/>
        <v>23</v>
      </c>
      <c r="C58" s="86">
        <f t="shared" si="5"/>
        <v>11.5</v>
      </c>
      <c r="D58" s="20">
        <f t="shared" si="0"/>
        <v>-130</v>
      </c>
      <c r="E58" s="20">
        <f t="shared" si="1"/>
        <v>330</v>
      </c>
      <c r="F58" s="20">
        <f t="shared" si="2"/>
        <v>21.447610589527216</v>
      </c>
      <c r="G58" s="22">
        <f t="shared" si="6"/>
        <v>2</v>
      </c>
      <c r="H58" s="22">
        <f t="shared" si="7"/>
        <v>5.6089244710450986E-105</v>
      </c>
      <c r="I58" s="22">
        <f t="shared" si="3"/>
        <v>7.225973768125749E+86</v>
      </c>
      <c r="J58" s="20">
        <f t="shared" si="4"/>
        <v>1000</v>
      </c>
    </row>
    <row r="59" spans="1:10" x14ac:dyDescent="0.2">
      <c r="A59" s="20">
        <v>100</v>
      </c>
      <c r="B59" s="68">
        <f t="shared" si="8"/>
        <v>24</v>
      </c>
      <c r="C59" s="86">
        <f t="shared" si="5"/>
        <v>12</v>
      </c>
      <c r="D59" s="20">
        <f t="shared" si="0"/>
        <v>-140</v>
      </c>
      <c r="E59" s="20">
        <f t="shared" si="1"/>
        <v>340</v>
      </c>
      <c r="F59" s="20">
        <f t="shared" si="2"/>
        <v>21.908902300206645</v>
      </c>
      <c r="G59" s="22">
        <f t="shared" si="6"/>
        <v>2</v>
      </c>
      <c r="H59" s="22">
        <f t="shared" si="7"/>
        <v>9.2700488648468882E-107</v>
      </c>
      <c r="I59" s="22">
        <f t="shared" si="3"/>
        <v>7.225973768125749E+86</v>
      </c>
      <c r="J59" s="20">
        <f t="shared" si="4"/>
        <v>1000</v>
      </c>
    </row>
    <row r="60" spans="1:10" x14ac:dyDescent="0.2">
      <c r="A60" s="20">
        <v>100</v>
      </c>
      <c r="B60" s="68">
        <f t="shared" si="8"/>
        <v>25</v>
      </c>
      <c r="C60" s="86">
        <f t="shared" si="5"/>
        <v>12.5</v>
      </c>
      <c r="D60" s="20">
        <f t="shared" si="0"/>
        <v>-150</v>
      </c>
      <c r="E60" s="20">
        <f t="shared" si="1"/>
        <v>350</v>
      </c>
      <c r="F60" s="20">
        <f t="shared" si="2"/>
        <v>22.360679774997898</v>
      </c>
      <c r="G60" s="22">
        <f t="shared" si="6"/>
        <v>2</v>
      </c>
      <c r="H60" s="22">
        <f t="shared" si="7"/>
        <v>1.4249909856380302E-108</v>
      </c>
      <c r="I60" s="22">
        <f t="shared" si="3"/>
        <v>7.225973768125749E+86</v>
      </c>
      <c r="J60" s="20">
        <f t="shared" si="4"/>
        <v>1000</v>
      </c>
    </row>
    <row r="61" spans="1:10" x14ac:dyDescent="0.2">
      <c r="A61" s="20">
        <v>100</v>
      </c>
      <c r="B61" s="68">
        <f t="shared" si="8"/>
        <v>26</v>
      </c>
      <c r="C61" s="86">
        <f t="shared" si="5"/>
        <v>13</v>
      </c>
      <c r="D61" s="20">
        <f t="shared" si="0"/>
        <v>-160</v>
      </c>
      <c r="E61" s="20">
        <f t="shared" si="1"/>
        <v>360</v>
      </c>
      <c r="F61" s="20">
        <f t="shared" si="2"/>
        <v>22.803508501982758</v>
      </c>
      <c r="G61" s="22">
        <f t="shared" si="6"/>
        <v>2</v>
      </c>
      <c r="H61" s="22">
        <f t="shared" si="7"/>
        <v>2.0545158432391726E-110</v>
      </c>
      <c r="I61" s="22">
        <f t="shared" si="3"/>
        <v>7.225973768125749E+86</v>
      </c>
      <c r="J61" s="20">
        <f t="shared" si="4"/>
        <v>1000</v>
      </c>
    </row>
    <row r="62" spans="1:10" x14ac:dyDescent="0.2">
      <c r="A62" s="20">
        <v>100</v>
      </c>
      <c r="B62" s="68">
        <f t="shared" si="8"/>
        <v>27</v>
      </c>
      <c r="C62" s="86">
        <f t="shared" si="5"/>
        <v>13.5</v>
      </c>
      <c r="D62" s="20">
        <f t="shared" si="0"/>
        <v>-170</v>
      </c>
      <c r="E62" s="20">
        <f t="shared" si="1"/>
        <v>370</v>
      </c>
      <c r="F62" s="20">
        <f t="shared" si="2"/>
        <v>23.2379000772445</v>
      </c>
      <c r="G62" s="22">
        <f t="shared" si="6"/>
        <v>2</v>
      </c>
      <c r="H62" s="22">
        <f t="shared" si="7"/>
        <v>2.7981707680522408E-112</v>
      </c>
      <c r="I62" s="22">
        <f t="shared" si="3"/>
        <v>7.225973768125749E+86</v>
      </c>
      <c r="J62" s="20">
        <f t="shared" si="4"/>
        <v>1000</v>
      </c>
    </row>
    <row r="63" spans="1:10" x14ac:dyDescent="0.2">
      <c r="A63" s="20">
        <v>100</v>
      </c>
      <c r="B63" s="68">
        <f t="shared" si="8"/>
        <v>28</v>
      </c>
      <c r="C63" s="86">
        <f t="shared" si="5"/>
        <v>14</v>
      </c>
      <c r="D63" s="20">
        <f t="shared" si="0"/>
        <v>-180</v>
      </c>
      <c r="E63" s="20">
        <f t="shared" si="1"/>
        <v>380</v>
      </c>
      <c r="F63" s="20">
        <f t="shared" si="2"/>
        <v>23.664319132398465</v>
      </c>
      <c r="G63" s="22">
        <f t="shared" si="6"/>
        <v>2</v>
      </c>
      <c r="H63" s="22">
        <f t="shared" si="7"/>
        <v>3.6221225485954786E-114</v>
      </c>
      <c r="I63" s="22">
        <f t="shared" si="3"/>
        <v>7.225973768125749E+86</v>
      </c>
      <c r="J63" s="20">
        <f t="shared" si="4"/>
        <v>1000</v>
      </c>
    </row>
    <row r="64" spans="1:10" x14ac:dyDescent="0.2">
      <c r="A64" s="20">
        <v>100</v>
      </c>
      <c r="B64" s="68">
        <f t="shared" si="8"/>
        <v>29</v>
      </c>
      <c r="C64" s="86">
        <f t="shared" si="5"/>
        <v>14.5</v>
      </c>
      <c r="D64" s="20">
        <f t="shared" si="0"/>
        <v>-190</v>
      </c>
      <c r="E64" s="20">
        <f t="shared" si="1"/>
        <v>390</v>
      </c>
      <c r="F64" s="20">
        <f t="shared" si="2"/>
        <v>24.083189157584592</v>
      </c>
      <c r="G64" s="22">
        <f t="shared" si="6"/>
        <v>2</v>
      </c>
      <c r="H64" s="22">
        <f t="shared" si="7"/>
        <v>4.4798797751986477E-116</v>
      </c>
      <c r="I64" s="22">
        <f t="shared" si="3"/>
        <v>7.225973768125749E+86</v>
      </c>
      <c r="J64" s="20">
        <f t="shared" si="4"/>
        <v>1000</v>
      </c>
    </row>
    <row r="65" spans="1:10" x14ac:dyDescent="0.2">
      <c r="A65" s="20">
        <v>100</v>
      </c>
      <c r="B65" s="68">
        <f t="shared" si="8"/>
        <v>30</v>
      </c>
      <c r="C65" s="86">
        <f t="shared" si="5"/>
        <v>15</v>
      </c>
      <c r="D65" s="20">
        <f t="shared" si="0"/>
        <v>-200</v>
      </c>
      <c r="E65" s="20">
        <f t="shared" si="1"/>
        <v>400</v>
      </c>
      <c r="F65" s="20">
        <f t="shared" si="2"/>
        <v>24.494897427831781</v>
      </c>
      <c r="G65" s="22">
        <f t="shared" si="6"/>
        <v>2</v>
      </c>
      <c r="H65" s="22">
        <f t="shared" si="7"/>
        <v>5.3182449538973557E-118</v>
      </c>
      <c r="I65" s="22">
        <f t="shared" si="3"/>
        <v>7.225973768125749E+86</v>
      </c>
      <c r="J65" s="20">
        <f t="shared" si="4"/>
        <v>1000</v>
      </c>
    </row>
  </sheetData>
  <mergeCells count="2">
    <mergeCell ref="A21:I21"/>
    <mergeCell ref="A27:I27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P72"/>
  <sheetViews>
    <sheetView workbookViewId="0">
      <selection activeCell="B19" sqref="A1:B19"/>
    </sheetView>
  </sheetViews>
  <sheetFormatPr baseColWidth="10" defaultRowHeight="16" x14ac:dyDescent="0.2"/>
  <cols>
    <col min="1" max="1" width="21.1640625" customWidth="1"/>
    <col min="7" max="9" width="12.1640625" bestFit="1" customWidth="1"/>
    <col min="14" max="15" width="12.1640625" bestFit="1" customWidth="1"/>
  </cols>
  <sheetData>
    <row r="1" spans="1:16" x14ac:dyDescent="0.2">
      <c r="A1" s="20" t="s">
        <v>32</v>
      </c>
      <c r="B1" s="20" t="s">
        <v>80</v>
      </c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16" x14ac:dyDescent="0.2">
      <c r="A2" s="3" t="s">
        <v>191</v>
      </c>
      <c r="B2" s="3" t="s">
        <v>208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3" spans="1:16" x14ac:dyDescent="0.2">
      <c r="A3" s="20" t="s">
        <v>17</v>
      </c>
      <c r="B3" s="20">
        <v>2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16" x14ac:dyDescent="0.2">
      <c r="A4" s="20" t="s">
        <v>18</v>
      </c>
      <c r="B4" s="20" t="s">
        <v>19</v>
      </c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6" x14ac:dyDescent="0.2">
      <c r="A5" s="20" t="s">
        <v>20</v>
      </c>
      <c r="B5" s="20" t="s">
        <v>19</v>
      </c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16" x14ac:dyDescent="0.2">
      <c r="A6" s="20" t="s">
        <v>21</v>
      </c>
      <c r="B6" s="20" t="s">
        <v>81</v>
      </c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16" x14ac:dyDescent="0.2">
      <c r="A7" s="20" t="s">
        <v>23</v>
      </c>
      <c r="B7" s="20" t="s">
        <v>82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</row>
    <row r="8" spans="1:16" x14ac:dyDescent="0.2">
      <c r="A8" s="20" t="s">
        <v>25</v>
      </c>
      <c r="B8" s="20" t="s">
        <v>26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16" x14ac:dyDescent="0.2">
      <c r="A9" s="20" t="s">
        <v>27</v>
      </c>
      <c r="B9" s="20" t="s">
        <v>26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16" x14ac:dyDescent="0.2">
      <c r="A10" s="20" t="s">
        <v>128</v>
      </c>
      <c r="B10" s="20" t="s">
        <v>83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</row>
    <row r="11" spans="1:16" x14ac:dyDescent="0.2">
      <c r="A11" s="20"/>
      <c r="B11" s="3" t="s">
        <v>129</v>
      </c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</row>
    <row r="12" spans="1:16" x14ac:dyDescent="0.2">
      <c r="A12" s="20" t="s">
        <v>30</v>
      </c>
      <c r="B12" s="20" t="s">
        <v>84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</row>
    <row r="13" spans="1:16" x14ac:dyDescent="0.2">
      <c r="A13" s="20" t="s">
        <v>85</v>
      </c>
      <c r="B13" s="20" t="s">
        <v>86</v>
      </c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6" x14ac:dyDescent="0.2">
      <c r="A14" s="20" t="s">
        <v>87</v>
      </c>
      <c r="B14" s="20" t="s">
        <v>88</v>
      </c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6" x14ac:dyDescent="0.2">
      <c r="A15" s="20"/>
      <c r="B15" s="20" t="s">
        <v>89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6" x14ac:dyDescent="0.2">
      <c r="A16" s="20"/>
      <c r="B16" s="20" t="s">
        <v>90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">
      <c r="A17" s="20"/>
      <c r="B17" s="20" t="s">
        <v>91</v>
      </c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">
      <c r="A18" s="20"/>
      <c r="B18" s="20" t="s">
        <v>92</v>
      </c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">
      <c r="A19" s="20" t="s">
        <v>93</v>
      </c>
      <c r="B19" s="20" t="s">
        <v>131</v>
      </c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">
      <c r="A22" s="20" t="s">
        <v>33</v>
      </c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">
      <c r="A24" s="21" t="s">
        <v>94</v>
      </c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ht="19" x14ac:dyDescent="0.2">
      <c r="A25" s="20" t="s">
        <v>34</v>
      </c>
      <c r="B25" s="20">
        <v>1000</v>
      </c>
      <c r="C25" s="20"/>
      <c r="D25" s="20" t="s">
        <v>35</v>
      </c>
      <c r="E25" s="20"/>
      <c r="F25" s="22"/>
      <c r="G25" s="20" t="s">
        <v>95</v>
      </c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">
      <c r="A26" s="20" t="s">
        <v>36</v>
      </c>
      <c r="B26" s="20">
        <v>5</v>
      </c>
      <c r="C26" s="20"/>
      <c r="D26" s="20" t="s">
        <v>37</v>
      </c>
      <c r="E26" s="20"/>
      <c r="F26" s="22"/>
      <c r="G26" s="20" t="s">
        <v>38</v>
      </c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">
      <c r="A27" s="20" t="s">
        <v>39</v>
      </c>
      <c r="B27" s="20">
        <v>0.5</v>
      </c>
      <c r="C27" s="20"/>
      <c r="D27" s="20" t="s">
        <v>40</v>
      </c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">
      <c r="A28" s="20" t="s">
        <v>96</v>
      </c>
      <c r="B28" s="20">
        <v>1</v>
      </c>
      <c r="C28" s="20"/>
      <c r="D28" s="20" t="s">
        <v>97</v>
      </c>
      <c r="E28" s="20"/>
      <c r="F28" s="22"/>
      <c r="G28" s="20" t="s">
        <v>98</v>
      </c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">
      <c r="A29" s="20" t="s">
        <v>99</v>
      </c>
      <c r="B29" s="20">
        <v>0.5</v>
      </c>
      <c r="C29" s="20"/>
      <c r="D29" s="20" t="s">
        <v>100</v>
      </c>
      <c r="E29" s="20"/>
      <c r="F29" s="22"/>
      <c r="G29" s="20" t="s">
        <v>98</v>
      </c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">
      <c r="A30" s="20" t="s">
        <v>101</v>
      </c>
      <c r="B30" s="20">
        <v>1</v>
      </c>
      <c r="C30" s="20"/>
      <c r="D30" s="20" t="s">
        <v>102</v>
      </c>
      <c r="E30" s="20"/>
      <c r="F30" s="22"/>
      <c r="G30" s="20" t="s">
        <v>98</v>
      </c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">
      <c r="A32" s="21" t="s">
        <v>103</v>
      </c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">
      <c r="A33" s="20" t="s">
        <v>50</v>
      </c>
      <c r="B33" s="20">
        <f>B26/B27</f>
        <v>10</v>
      </c>
      <c r="C33" s="20"/>
      <c r="D33" s="20" t="s">
        <v>51</v>
      </c>
      <c r="E33" s="20"/>
      <c r="F33" s="22"/>
      <c r="G33" s="20" t="s">
        <v>38</v>
      </c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">
      <c r="A34" s="20" t="s">
        <v>52</v>
      </c>
      <c r="B34" s="20">
        <f>B33/B35</f>
        <v>1</v>
      </c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ht="19" x14ac:dyDescent="0.2">
      <c r="A35" s="20" t="s">
        <v>104</v>
      </c>
      <c r="B35" s="20">
        <f>B28*B33</f>
        <v>10</v>
      </c>
      <c r="C35" s="20"/>
      <c r="D35" s="20" t="s">
        <v>105</v>
      </c>
      <c r="E35" s="20"/>
      <c r="F35" s="22"/>
      <c r="G35" s="20" t="s">
        <v>106</v>
      </c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">
      <c r="A36" s="20" t="s">
        <v>107</v>
      </c>
      <c r="B36" s="20">
        <f>B29*B33</f>
        <v>5</v>
      </c>
      <c r="C36" s="20"/>
      <c r="D36" s="20" t="s">
        <v>108</v>
      </c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">
      <c r="A38" s="20" t="s">
        <v>73</v>
      </c>
      <c r="B38" s="3" t="str">
        <f>CONCATENATE("Concentation History for Observation Location at ",A43," (meters) Downgradient of Source; Offset ",B43," (meters) from plume centerline")</f>
        <v>Concentation History for Observation Location at 100 (meters) Downgradient of Source; Offset 0 (meters) from plume centerline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">
      <c r="A40" s="21" t="s">
        <v>54</v>
      </c>
      <c r="B40" s="20"/>
      <c r="C40" s="20"/>
      <c r="D40" s="23"/>
      <c r="E40" s="24"/>
      <c r="F40" s="24" t="s">
        <v>53</v>
      </c>
      <c r="G40" s="24"/>
      <c r="H40" s="24"/>
      <c r="I40" s="24"/>
      <c r="J40" s="24"/>
      <c r="K40" s="24"/>
      <c r="L40" s="24"/>
      <c r="M40" s="24"/>
      <c r="N40" s="24"/>
      <c r="O40" s="25"/>
      <c r="P40" s="20" t="s">
        <v>109</v>
      </c>
    </row>
    <row r="41" spans="1:16" x14ac:dyDescent="0.2">
      <c r="A41" s="22"/>
      <c r="B41" s="20"/>
      <c r="C41" s="20"/>
      <c r="D41" s="26" t="s">
        <v>55</v>
      </c>
      <c r="E41" s="27" t="s">
        <v>56</v>
      </c>
      <c r="F41" s="27" t="s">
        <v>57</v>
      </c>
      <c r="G41" s="27" t="s">
        <v>58</v>
      </c>
      <c r="H41" s="27" t="s">
        <v>59</v>
      </c>
      <c r="I41" s="27" t="s">
        <v>60</v>
      </c>
      <c r="J41" s="27" t="s">
        <v>61</v>
      </c>
      <c r="K41" s="28" t="s">
        <v>110</v>
      </c>
      <c r="L41" s="28" t="s">
        <v>111</v>
      </c>
      <c r="M41" s="28" t="s">
        <v>112</v>
      </c>
      <c r="N41" s="28" t="s">
        <v>113</v>
      </c>
      <c r="O41" s="29" t="s">
        <v>114</v>
      </c>
      <c r="P41" s="28" t="s">
        <v>115</v>
      </c>
    </row>
    <row r="42" spans="1:16" ht="116" x14ac:dyDescent="0.2">
      <c r="A42" s="30" t="s">
        <v>62</v>
      </c>
      <c r="B42" s="30" t="s">
        <v>116</v>
      </c>
      <c r="C42" s="30" t="s">
        <v>156</v>
      </c>
      <c r="D42" s="31" t="s">
        <v>64</v>
      </c>
      <c r="E42" s="32" t="s">
        <v>65</v>
      </c>
      <c r="F42" s="32" t="s">
        <v>66</v>
      </c>
      <c r="G42" s="32" t="s">
        <v>67</v>
      </c>
      <c r="H42" s="32" t="s">
        <v>68</v>
      </c>
      <c r="I42" s="32" t="s">
        <v>69</v>
      </c>
      <c r="J42" s="32" t="s">
        <v>117</v>
      </c>
      <c r="K42" s="32" t="s">
        <v>118</v>
      </c>
      <c r="L42" s="32" t="s">
        <v>119</v>
      </c>
      <c r="M42" s="32" t="s">
        <v>120</v>
      </c>
      <c r="N42" s="32" t="s">
        <v>124</v>
      </c>
      <c r="O42" s="33" t="s">
        <v>123</v>
      </c>
      <c r="P42" s="30" t="s">
        <v>157</v>
      </c>
    </row>
    <row r="43" spans="1:16" x14ac:dyDescent="0.2">
      <c r="A43" s="20">
        <v>100</v>
      </c>
      <c r="B43" s="20">
        <v>0</v>
      </c>
      <c r="C43" s="20">
        <v>1</v>
      </c>
      <c r="D43" s="20">
        <f t="shared" ref="D43:D72" si="0">A43-$B$33*C43</f>
        <v>90</v>
      </c>
      <c r="E43" s="20">
        <f t="shared" ref="E43:E72" si="1">A43+$B$33*C43</f>
        <v>110</v>
      </c>
      <c r="F43" s="20">
        <f t="shared" ref="F43:F72" si="2">2*SQRT($B$35*C43)</f>
        <v>6.324555320336759</v>
      </c>
      <c r="G43">
        <f>ERFC(D43/F43)</f>
        <v>4.4927698587234135E-90</v>
      </c>
      <c r="H43">
        <f>ERFC(E43/F43)</f>
        <v>1.3685690009293445E-133</v>
      </c>
      <c r="I43">
        <f>EXP(A43*$B$34)</f>
        <v>2.6881171418161356E+43</v>
      </c>
      <c r="J43" s="20">
        <f>0.5*$B$25*(G43+I43*H43)</f>
        <v>4.085821824939884E-87</v>
      </c>
      <c r="K43" s="20">
        <f>2*SQRT($B$36*C43)</f>
        <v>4.4721359549995796</v>
      </c>
      <c r="L43" s="20">
        <f>B43-0.5*$B$30</f>
        <v>-0.5</v>
      </c>
      <c r="M43" s="20">
        <f>B43+0.5*$B$30</f>
        <v>0.5</v>
      </c>
      <c r="N43">
        <f>ERF(L43/K43)</f>
        <v>-0.12563293883710816</v>
      </c>
      <c r="O43">
        <f>ERF(M43/K43)</f>
        <v>0.12563293883710816</v>
      </c>
      <c r="P43" s="20">
        <f>0.5*J43*(O43-N43)</f>
        <v>5.1331380343199412E-88</v>
      </c>
    </row>
    <row r="44" spans="1:16" x14ac:dyDescent="0.2">
      <c r="A44" s="20">
        <v>100</v>
      </c>
      <c r="B44" s="20">
        <v>0</v>
      </c>
      <c r="C44" s="20">
        <f t="shared" ref="C44:C72" si="3">C43+1</f>
        <v>2</v>
      </c>
      <c r="D44" s="20">
        <f t="shared" si="0"/>
        <v>80</v>
      </c>
      <c r="E44" s="20">
        <f t="shared" si="1"/>
        <v>120</v>
      </c>
      <c r="F44" s="20">
        <f t="shared" si="2"/>
        <v>8.9442719099991592</v>
      </c>
      <c r="G44">
        <f t="shared" ref="G44:G56" si="4">ERFC(D44/F44)</f>
        <v>1.1314837902432825E-36</v>
      </c>
      <c r="H44">
        <f t="shared" ref="H44:H56" si="5">ERFC(E44/F44)</f>
        <v>2.8156843046194688E-80</v>
      </c>
      <c r="I44">
        <f t="shared" ref="I44:I56" si="6">EXP(A44*$B$34)</f>
        <v>2.6881171418161356E+43</v>
      </c>
      <c r="J44" s="20">
        <f t="shared" ref="J44:J72" si="7">0.5*$B$25*(G44+I44*H44)</f>
        <v>9.441863573811534E-34</v>
      </c>
      <c r="K44" s="20">
        <f t="shared" ref="K44:K72" si="8">2*SQRT($B$36*C44)</f>
        <v>6.324555320336759</v>
      </c>
      <c r="L44" s="20">
        <f t="shared" ref="L44:L72" si="9">B44-0.5*$B$30</f>
        <v>-0.5</v>
      </c>
      <c r="M44" s="20">
        <f t="shared" ref="M44:M72" si="10">B44+0.5*$B$30</f>
        <v>0.5</v>
      </c>
      <c r="N44">
        <f t="shared" ref="N44:N72" si="11">ERF(L44/K44)</f>
        <v>-8.9020707489366038E-2</v>
      </c>
      <c r="O44">
        <f t="shared" ref="O44:O72" si="12">ERF(M44/K44)</f>
        <v>8.9020707489366038E-2</v>
      </c>
      <c r="P44" s="20">
        <f t="shared" ref="P44:P72" si="13">0.5*J44*(O44-N44)</f>
        <v>8.4052137535877677E-35</v>
      </c>
    </row>
    <row r="45" spans="1:16" x14ac:dyDescent="0.2">
      <c r="A45" s="20">
        <v>100</v>
      </c>
      <c r="B45" s="20">
        <v>0</v>
      </c>
      <c r="C45" s="20">
        <f t="shared" si="3"/>
        <v>3</v>
      </c>
      <c r="D45" s="20">
        <f t="shared" si="0"/>
        <v>70</v>
      </c>
      <c r="E45" s="20">
        <f t="shared" si="1"/>
        <v>130</v>
      </c>
      <c r="F45" s="20">
        <f t="shared" si="2"/>
        <v>10.954451150103322</v>
      </c>
      <c r="G45">
        <f t="shared" si="4"/>
        <v>1.6108761253849874E-19</v>
      </c>
      <c r="H45">
        <f t="shared" si="5"/>
        <v>3.2539013135653763E-63</v>
      </c>
      <c r="I45">
        <f t="shared" si="6"/>
        <v>2.6881171418161356E+43</v>
      </c>
      <c r="J45" s="20">
        <f t="shared" si="7"/>
        <v>1.2427814576311501E-16</v>
      </c>
      <c r="K45" s="20">
        <f t="shared" si="8"/>
        <v>7.745966692414834</v>
      </c>
      <c r="L45" s="20">
        <f t="shared" si="9"/>
        <v>-0.5</v>
      </c>
      <c r="M45" s="20">
        <f t="shared" si="10"/>
        <v>0.5</v>
      </c>
      <c r="N45">
        <f t="shared" si="11"/>
        <v>-7.2735526474767886E-2</v>
      </c>
      <c r="O45">
        <f t="shared" si="12"/>
        <v>7.2735526474767886E-2</v>
      </c>
      <c r="P45" s="20">
        <f t="shared" si="13"/>
        <v>9.0394363613881145E-18</v>
      </c>
    </row>
    <row r="46" spans="1:16" x14ac:dyDescent="0.2">
      <c r="A46" s="20">
        <v>100</v>
      </c>
      <c r="B46" s="20">
        <v>0</v>
      </c>
      <c r="C46" s="20">
        <f t="shared" si="3"/>
        <v>4</v>
      </c>
      <c r="D46" s="20">
        <f t="shared" si="0"/>
        <v>60</v>
      </c>
      <c r="E46" s="20">
        <f t="shared" si="1"/>
        <v>140</v>
      </c>
      <c r="F46" s="20">
        <f t="shared" si="2"/>
        <v>12.649110640673518</v>
      </c>
      <c r="G46">
        <f t="shared" si="4"/>
        <v>1.9703444711799161E-11</v>
      </c>
      <c r="H46">
        <f t="shared" si="5"/>
        <v>3.1954210346212372E-55</v>
      </c>
      <c r="I46">
        <f t="shared" si="6"/>
        <v>2.6881171418161356E+43</v>
      </c>
      <c r="J46" s="20">
        <f t="shared" si="7"/>
        <v>1.414655538514218E-8</v>
      </c>
      <c r="K46" s="20">
        <f t="shared" si="8"/>
        <v>8.9442719099991592</v>
      </c>
      <c r="L46" s="20">
        <f t="shared" si="9"/>
        <v>-0.5</v>
      </c>
      <c r="M46" s="20">
        <f t="shared" si="10"/>
        <v>0.5</v>
      </c>
      <c r="N46">
        <f t="shared" si="11"/>
        <v>-6.3012668028519375E-2</v>
      </c>
      <c r="O46">
        <f t="shared" si="12"/>
        <v>6.3012668028519375E-2</v>
      </c>
      <c r="P46" s="20">
        <f t="shared" si="13"/>
        <v>8.9141219823102722E-10</v>
      </c>
    </row>
    <row r="47" spans="1:16" x14ac:dyDescent="0.2">
      <c r="A47" s="20">
        <v>100</v>
      </c>
      <c r="B47" s="20">
        <v>0</v>
      </c>
      <c r="C47" s="20">
        <f t="shared" si="3"/>
        <v>5</v>
      </c>
      <c r="D47" s="20">
        <f t="shared" si="0"/>
        <v>50</v>
      </c>
      <c r="E47" s="20">
        <f t="shared" si="1"/>
        <v>150</v>
      </c>
      <c r="F47" s="20">
        <f t="shared" si="2"/>
        <v>14.142135623730951</v>
      </c>
      <c r="G47">
        <f t="shared" si="4"/>
        <v>5.7330314375838878E-7</v>
      </c>
      <c r="H47">
        <f t="shared" si="5"/>
        <v>7.3419323986253936E-51</v>
      </c>
      <c r="I47">
        <f t="shared" si="6"/>
        <v>2.6881171418161356E+43</v>
      </c>
      <c r="J47" s="20">
        <f t="shared" si="7"/>
        <v>3.853314435531953E-4</v>
      </c>
      <c r="K47" s="20">
        <f t="shared" si="8"/>
        <v>10</v>
      </c>
      <c r="L47" s="20">
        <f t="shared" si="9"/>
        <v>-0.5</v>
      </c>
      <c r="M47" s="20">
        <f t="shared" si="10"/>
        <v>0.5</v>
      </c>
      <c r="N47">
        <f t="shared" si="11"/>
        <v>-5.6371977797016623E-2</v>
      </c>
      <c r="O47">
        <f t="shared" si="12"/>
        <v>5.6371977797016623E-2</v>
      </c>
      <c r="P47" s="20">
        <f t="shared" si="13"/>
        <v>2.1721895580473091E-5</v>
      </c>
    </row>
    <row r="48" spans="1:16" x14ac:dyDescent="0.2">
      <c r="A48" s="20">
        <v>100</v>
      </c>
      <c r="B48" s="20">
        <v>0</v>
      </c>
      <c r="C48" s="20">
        <f t="shared" si="3"/>
        <v>6</v>
      </c>
      <c r="D48" s="20">
        <f t="shared" si="0"/>
        <v>40</v>
      </c>
      <c r="E48" s="20">
        <f t="shared" si="1"/>
        <v>160</v>
      </c>
      <c r="F48" s="20">
        <f t="shared" si="2"/>
        <v>15.491933384829668</v>
      </c>
      <c r="G48">
        <f t="shared" si="4"/>
        <v>2.6072963285531689E-4</v>
      </c>
      <c r="H48">
        <f t="shared" si="5"/>
        <v>2.5742666636977667E-48</v>
      </c>
      <c r="I48">
        <f t="shared" si="6"/>
        <v>2.6881171418161356E+43</v>
      </c>
      <c r="J48" s="20">
        <f t="shared" si="7"/>
        <v>0.16496446815911747</v>
      </c>
      <c r="K48" s="20">
        <f t="shared" si="8"/>
        <v>10.954451150103322</v>
      </c>
      <c r="L48" s="20">
        <f t="shared" si="9"/>
        <v>-0.5</v>
      </c>
      <c r="M48" s="20">
        <f t="shared" si="10"/>
        <v>0.5</v>
      </c>
      <c r="N48">
        <f t="shared" si="11"/>
        <v>-5.1467483149355737E-2</v>
      </c>
      <c r="O48">
        <f t="shared" si="12"/>
        <v>5.1467483149355737E-2</v>
      </c>
      <c r="P48" s="20">
        <f t="shared" si="13"/>
        <v>8.4903059852218105E-3</v>
      </c>
    </row>
    <row r="49" spans="1:16" x14ac:dyDescent="0.2">
      <c r="A49" s="20">
        <v>100</v>
      </c>
      <c r="B49" s="20">
        <v>0</v>
      </c>
      <c r="C49" s="20">
        <f t="shared" si="3"/>
        <v>7</v>
      </c>
      <c r="D49" s="20">
        <f t="shared" si="0"/>
        <v>30</v>
      </c>
      <c r="E49" s="20">
        <f t="shared" si="1"/>
        <v>170</v>
      </c>
      <c r="F49" s="20">
        <f t="shared" si="2"/>
        <v>16.733200530681511</v>
      </c>
      <c r="G49">
        <f t="shared" si="4"/>
        <v>1.1229886652916677E-2</v>
      </c>
      <c r="H49">
        <f t="shared" si="5"/>
        <v>8.2619290359372097E-47</v>
      </c>
      <c r="I49">
        <f t="shared" si="6"/>
        <v>2.6881171418161356E+43</v>
      </c>
      <c r="J49" s="20">
        <f t="shared" si="7"/>
        <v>6.7253949797569019</v>
      </c>
      <c r="K49" s="20">
        <f t="shared" si="8"/>
        <v>11.832159566199232</v>
      </c>
      <c r="L49" s="20">
        <f t="shared" si="9"/>
        <v>-0.5</v>
      </c>
      <c r="M49" s="20">
        <f t="shared" si="10"/>
        <v>0.5</v>
      </c>
      <c r="N49">
        <f t="shared" si="11"/>
        <v>-4.7654355326340769E-2</v>
      </c>
      <c r="O49">
        <f t="shared" si="12"/>
        <v>4.7654355326340769E-2</v>
      </c>
      <c r="P49" s="20">
        <f t="shared" si="13"/>
        <v>0.32049436207532378</v>
      </c>
    </row>
    <row r="50" spans="1:16" x14ac:dyDescent="0.2">
      <c r="A50" s="20">
        <v>100</v>
      </c>
      <c r="B50" s="20">
        <v>0</v>
      </c>
      <c r="C50" s="20">
        <f t="shared" si="3"/>
        <v>8</v>
      </c>
      <c r="D50" s="20">
        <f t="shared" si="0"/>
        <v>20</v>
      </c>
      <c r="E50" s="20">
        <f t="shared" si="1"/>
        <v>180</v>
      </c>
      <c r="F50" s="20">
        <f t="shared" si="2"/>
        <v>17.888543819998318</v>
      </c>
      <c r="G50">
        <f t="shared" si="4"/>
        <v>0.11384629800665802</v>
      </c>
      <c r="H50">
        <f t="shared" si="5"/>
        <v>5.9469247753009414E-46</v>
      </c>
      <c r="I50">
        <f t="shared" si="6"/>
        <v>2.6881171418161356E+43</v>
      </c>
      <c r="J50" s="20">
        <f t="shared" si="7"/>
        <v>64.916164218117771</v>
      </c>
      <c r="K50" s="20">
        <f t="shared" si="8"/>
        <v>12.649110640673518</v>
      </c>
      <c r="L50" s="20">
        <f t="shared" si="9"/>
        <v>-0.5</v>
      </c>
      <c r="M50" s="20">
        <f t="shared" si="10"/>
        <v>0.5</v>
      </c>
      <c r="N50">
        <f t="shared" si="11"/>
        <v>-4.4579883006436401E-2</v>
      </c>
      <c r="O50">
        <f t="shared" si="12"/>
        <v>4.4579883006436401E-2</v>
      </c>
      <c r="P50" s="20">
        <f t="shared" si="13"/>
        <v>2.893955006070303</v>
      </c>
    </row>
    <row r="51" spans="1:16" x14ac:dyDescent="0.2">
      <c r="A51" s="20">
        <v>100</v>
      </c>
      <c r="B51" s="20">
        <v>0</v>
      </c>
      <c r="C51" s="20">
        <f t="shared" si="3"/>
        <v>9</v>
      </c>
      <c r="D51" s="20">
        <f t="shared" si="0"/>
        <v>10</v>
      </c>
      <c r="E51" s="20">
        <f t="shared" si="1"/>
        <v>190</v>
      </c>
      <c r="F51" s="20">
        <f t="shared" si="2"/>
        <v>18.973665961010276</v>
      </c>
      <c r="G51">
        <f t="shared" si="4"/>
        <v>0.45605654025025594</v>
      </c>
      <c r="H51">
        <f t="shared" si="5"/>
        <v>1.5797852743658619E-45</v>
      </c>
      <c r="I51">
        <f t="shared" si="6"/>
        <v>2.6881171418161356E+43</v>
      </c>
      <c r="J51" s="20">
        <f t="shared" si="7"/>
        <v>249.26150950718588</v>
      </c>
      <c r="K51" s="20">
        <f t="shared" si="8"/>
        <v>13.416407864998739</v>
      </c>
      <c r="L51" s="20">
        <f t="shared" si="9"/>
        <v>-0.5</v>
      </c>
      <c r="M51" s="20">
        <f t="shared" si="10"/>
        <v>0.5</v>
      </c>
      <c r="N51">
        <f t="shared" si="11"/>
        <v>-4.2032748194438148E-2</v>
      </c>
      <c r="O51">
        <f t="shared" si="12"/>
        <v>4.2032748194438148E-2</v>
      </c>
      <c r="P51" s="20">
        <f t="shared" si="13"/>
        <v>10.477146263681094</v>
      </c>
    </row>
    <row r="52" spans="1:16" x14ac:dyDescent="0.2">
      <c r="A52" s="20">
        <v>100</v>
      </c>
      <c r="B52" s="20">
        <v>0</v>
      </c>
      <c r="C52" s="20">
        <f t="shared" si="3"/>
        <v>10</v>
      </c>
      <c r="D52" s="20">
        <f t="shared" si="0"/>
        <v>0</v>
      </c>
      <c r="E52" s="20">
        <f t="shared" si="1"/>
        <v>200</v>
      </c>
      <c r="F52" s="20">
        <f t="shared" si="2"/>
        <v>20</v>
      </c>
      <c r="G52">
        <f t="shared" si="4"/>
        <v>1</v>
      </c>
      <c r="H52">
        <f t="shared" si="5"/>
        <v>2.0884875837625446E-45</v>
      </c>
      <c r="I52">
        <f t="shared" si="6"/>
        <v>2.6881171418161356E+43</v>
      </c>
      <c r="J52" s="20">
        <f t="shared" si="7"/>
        <v>528.0704963719113</v>
      </c>
      <c r="K52" s="20">
        <f t="shared" si="8"/>
        <v>14.142135623730951</v>
      </c>
      <c r="L52" s="20">
        <f t="shared" si="9"/>
        <v>-0.5</v>
      </c>
      <c r="M52" s="20">
        <f t="shared" si="10"/>
        <v>0.5</v>
      </c>
      <c r="N52">
        <f t="shared" si="11"/>
        <v>-3.9877611676744924E-2</v>
      </c>
      <c r="O52">
        <f t="shared" si="12"/>
        <v>3.9877611676744924E-2</v>
      </c>
      <c r="P52" s="20">
        <f t="shared" si="13"/>
        <v>21.05819019226502</v>
      </c>
    </row>
    <row r="53" spans="1:16" x14ac:dyDescent="0.2">
      <c r="A53" s="20">
        <v>100</v>
      </c>
      <c r="B53" s="20">
        <v>0</v>
      </c>
      <c r="C53" s="20">
        <f t="shared" si="3"/>
        <v>11</v>
      </c>
      <c r="D53" s="20">
        <f t="shared" si="0"/>
        <v>-10</v>
      </c>
      <c r="E53" s="20">
        <f t="shared" si="1"/>
        <v>210</v>
      </c>
      <c r="F53" s="20">
        <f t="shared" si="2"/>
        <v>20.976176963403031</v>
      </c>
      <c r="G53">
        <f t="shared" si="4"/>
        <v>1.4998157429292056</v>
      </c>
      <c r="H53">
        <f t="shared" si="5"/>
        <v>1.6620361100832776E-45</v>
      </c>
      <c r="I53">
        <f t="shared" si="6"/>
        <v>2.6881171418161356E+43</v>
      </c>
      <c r="J53" s="20">
        <f t="shared" si="7"/>
        <v>772.24661025376417</v>
      </c>
      <c r="K53" s="20">
        <f t="shared" si="8"/>
        <v>14.832396974191326</v>
      </c>
      <c r="L53" s="20">
        <f t="shared" si="9"/>
        <v>-0.5</v>
      </c>
      <c r="M53" s="20">
        <f t="shared" si="10"/>
        <v>0.5</v>
      </c>
      <c r="N53">
        <f t="shared" si="11"/>
        <v>-3.8023250671408812E-2</v>
      </c>
      <c r="O53">
        <f t="shared" si="12"/>
        <v>3.8023250671408812E-2</v>
      </c>
      <c r="P53" s="20">
        <f t="shared" si="13"/>
        <v>29.363326441824618</v>
      </c>
    </row>
    <row r="54" spans="1:16" x14ac:dyDescent="0.2">
      <c r="A54" s="20">
        <v>100</v>
      </c>
      <c r="B54" s="20">
        <v>0</v>
      </c>
      <c r="C54" s="20">
        <f t="shared" si="3"/>
        <v>12</v>
      </c>
      <c r="D54" s="20">
        <f t="shared" si="0"/>
        <v>-20</v>
      </c>
      <c r="E54" s="20">
        <f t="shared" si="1"/>
        <v>220</v>
      </c>
      <c r="F54" s="20">
        <f t="shared" si="2"/>
        <v>21.908902300206645</v>
      </c>
      <c r="G54">
        <f t="shared" si="4"/>
        <v>1.8032943975410531</v>
      </c>
      <c r="H54">
        <f t="shared" si="5"/>
        <v>9.0393100344635466E-46</v>
      </c>
      <c r="I54">
        <f t="shared" si="6"/>
        <v>2.6881171418161356E+43</v>
      </c>
      <c r="J54" s="20">
        <f t="shared" si="7"/>
        <v>913.79656089744265</v>
      </c>
      <c r="K54" s="20">
        <f t="shared" si="8"/>
        <v>15.491933384829668</v>
      </c>
      <c r="L54" s="20">
        <f t="shared" si="9"/>
        <v>-0.5</v>
      </c>
      <c r="M54" s="20">
        <f t="shared" si="10"/>
        <v>0.5</v>
      </c>
      <c r="N54">
        <f t="shared" si="11"/>
        <v>-3.6405639733927304E-2</v>
      </c>
      <c r="O54">
        <f t="shared" si="12"/>
        <v>3.6405639733927304E-2</v>
      </c>
      <c r="P54" s="20">
        <f t="shared" si="13"/>
        <v>33.26734838613406</v>
      </c>
    </row>
    <row r="55" spans="1:16" x14ac:dyDescent="0.2">
      <c r="A55" s="20">
        <v>100</v>
      </c>
      <c r="B55" s="20">
        <v>0</v>
      </c>
      <c r="C55" s="20">
        <f t="shared" si="3"/>
        <v>13</v>
      </c>
      <c r="D55" s="20">
        <f t="shared" si="0"/>
        <v>-30</v>
      </c>
      <c r="E55" s="20">
        <f t="shared" si="1"/>
        <v>230</v>
      </c>
      <c r="F55" s="20">
        <f t="shared" si="2"/>
        <v>22.803508501982758</v>
      </c>
      <c r="G55">
        <f t="shared" si="4"/>
        <v>1.9371881524839012</v>
      </c>
      <c r="H55">
        <f t="shared" si="5"/>
        <v>3.6684133667933523E-46</v>
      </c>
      <c r="I55">
        <f t="shared" si="6"/>
        <v>2.6881171418161356E+43</v>
      </c>
      <c r="J55" s="20">
        <f t="shared" si="7"/>
        <v>973.5246386692229</v>
      </c>
      <c r="K55" s="20">
        <f t="shared" si="8"/>
        <v>16.124515496597098</v>
      </c>
      <c r="L55" s="20">
        <f t="shared" si="9"/>
        <v>-0.5</v>
      </c>
      <c r="M55" s="20">
        <f t="shared" si="10"/>
        <v>0.5</v>
      </c>
      <c r="N55">
        <f t="shared" si="11"/>
        <v>-3.4978341260710512E-2</v>
      </c>
      <c r="O55">
        <f t="shared" si="12"/>
        <v>3.4978341260710512E-2</v>
      </c>
      <c r="P55" s="20">
        <f t="shared" si="13"/>
        <v>34.052277037081971</v>
      </c>
    </row>
    <row r="56" spans="1:16" x14ac:dyDescent="0.2">
      <c r="A56" s="20">
        <v>100</v>
      </c>
      <c r="B56" s="20">
        <v>0</v>
      </c>
      <c r="C56" s="20">
        <f t="shared" si="3"/>
        <v>14</v>
      </c>
      <c r="D56" s="20">
        <f t="shared" si="0"/>
        <v>-40</v>
      </c>
      <c r="E56" s="20">
        <f t="shared" si="1"/>
        <v>240</v>
      </c>
      <c r="F56" s="20">
        <f t="shared" si="2"/>
        <v>23.664319132398465</v>
      </c>
      <c r="G56">
        <f t="shared" si="4"/>
        <v>1.9831725905172433</v>
      </c>
      <c r="H56">
        <f t="shared" si="5"/>
        <v>1.1828568142337215E-46</v>
      </c>
      <c r="I56">
        <f t="shared" si="6"/>
        <v>2.6881171418161356E+43</v>
      </c>
      <c r="J56" s="20">
        <f t="shared" si="7"/>
        <v>993.17612409794958</v>
      </c>
      <c r="K56" s="20">
        <f t="shared" si="8"/>
        <v>16.733200530681511</v>
      </c>
      <c r="L56" s="20">
        <f t="shared" si="9"/>
        <v>-0.5</v>
      </c>
      <c r="M56" s="20">
        <f t="shared" si="10"/>
        <v>0.5</v>
      </c>
      <c r="N56">
        <f t="shared" si="11"/>
        <v>-3.3706744499615533E-2</v>
      </c>
      <c r="O56">
        <f t="shared" si="12"/>
        <v>3.3706744499615533E-2</v>
      </c>
      <c r="P56" s="20">
        <f t="shared" si="13"/>
        <v>33.476733858088039</v>
      </c>
    </row>
    <row r="57" spans="1:16" x14ac:dyDescent="0.2">
      <c r="A57" s="20">
        <v>100</v>
      </c>
      <c r="B57" s="20">
        <v>0</v>
      </c>
      <c r="C57" s="20">
        <f t="shared" si="3"/>
        <v>15</v>
      </c>
      <c r="D57" s="20">
        <f t="shared" si="0"/>
        <v>-50</v>
      </c>
      <c r="E57" s="20">
        <f t="shared" si="1"/>
        <v>250</v>
      </c>
      <c r="F57" s="20">
        <f t="shared" si="2"/>
        <v>24.494897427831781</v>
      </c>
      <c r="G57">
        <f t="shared" ref="G57:G72" si="14">ERFC(D57/F57)</f>
        <v>1.9961075828772215</v>
      </c>
      <c r="H57">
        <f t="shared" ref="H57:H72" si="15">ERFC(E57/F57)</f>
        <v>3.1731600475494988E-47</v>
      </c>
      <c r="I57">
        <f t="shared" ref="I57:I72" si="16">EXP(A57*$B$34)</f>
        <v>2.6881171418161356E+43</v>
      </c>
      <c r="J57" s="20">
        <f t="shared" si="7"/>
        <v>998.48028273448801</v>
      </c>
      <c r="K57" s="20">
        <f t="shared" si="8"/>
        <v>17.320508075688775</v>
      </c>
      <c r="L57" s="20">
        <f t="shared" si="9"/>
        <v>-0.5</v>
      </c>
      <c r="M57" s="20">
        <f t="shared" si="10"/>
        <v>0.5</v>
      </c>
      <c r="N57">
        <f t="shared" si="11"/>
        <v>-3.2564454860463048E-2</v>
      </c>
      <c r="O57">
        <f t="shared" si="12"/>
        <v>3.2564454860463048E-2</v>
      </c>
      <c r="P57" s="20">
        <f t="shared" si="13"/>
        <v>32.514966096169616</v>
      </c>
    </row>
    <row r="58" spans="1:16" x14ac:dyDescent="0.2">
      <c r="A58" s="20">
        <v>100</v>
      </c>
      <c r="B58" s="20">
        <v>0</v>
      </c>
      <c r="C58" s="20">
        <f t="shared" si="3"/>
        <v>16</v>
      </c>
      <c r="D58" s="20">
        <f t="shared" si="0"/>
        <v>-60</v>
      </c>
      <c r="E58" s="20">
        <f t="shared" si="1"/>
        <v>260</v>
      </c>
      <c r="F58" s="20">
        <f t="shared" si="2"/>
        <v>25.298221281347036</v>
      </c>
      <c r="G58">
        <f t="shared" si="14"/>
        <v>1.9992037698424092</v>
      </c>
      <c r="H58">
        <f t="shared" si="15"/>
        <v>7.3308612443058151E-48</v>
      </c>
      <c r="I58">
        <f t="shared" si="16"/>
        <v>2.6881171418161356E+43</v>
      </c>
      <c r="J58" s="20">
        <f t="shared" si="7"/>
        <v>999.70041599008005</v>
      </c>
      <c r="K58" s="20">
        <f t="shared" si="8"/>
        <v>17.888543819998318</v>
      </c>
      <c r="L58" s="20">
        <f t="shared" si="9"/>
        <v>-0.5</v>
      </c>
      <c r="M58" s="20">
        <f t="shared" si="10"/>
        <v>0.5</v>
      </c>
      <c r="N58">
        <f t="shared" si="11"/>
        <v>-3.1530945127879552E-2</v>
      </c>
      <c r="O58">
        <f t="shared" si="12"/>
        <v>3.1530945127879552E-2</v>
      </c>
      <c r="P58" s="20">
        <f t="shared" si="13"/>
        <v>31.521498960901575</v>
      </c>
    </row>
    <row r="59" spans="1:16" x14ac:dyDescent="0.2">
      <c r="A59" s="20">
        <v>100</v>
      </c>
      <c r="B59" s="20">
        <v>0</v>
      </c>
      <c r="C59" s="20">
        <f t="shared" si="3"/>
        <v>17</v>
      </c>
      <c r="D59" s="20">
        <f t="shared" si="0"/>
        <v>-70</v>
      </c>
      <c r="E59" s="20">
        <f t="shared" si="1"/>
        <v>270</v>
      </c>
      <c r="F59" s="20">
        <f t="shared" si="2"/>
        <v>26.076809620810597</v>
      </c>
      <c r="G59">
        <f t="shared" si="14"/>
        <v>1.9998531181907913</v>
      </c>
      <c r="H59">
        <f t="shared" si="15"/>
        <v>1.4975805721827372E-48</v>
      </c>
      <c r="I59">
        <f t="shared" si="16"/>
        <v>2.6881171418161356E+43</v>
      </c>
      <c r="J59" s="20">
        <f t="shared" si="7"/>
        <v>999.94668745543231</v>
      </c>
      <c r="K59" s="20">
        <f t="shared" si="8"/>
        <v>18.439088914585774</v>
      </c>
      <c r="L59" s="20">
        <f t="shared" si="9"/>
        <v>-0.5</v>
      </c>
      <c r="M59" s="20">
        <f t="shared" si="10"/>
        <v>0.5</v>
      </c>
      <c r="N59">
        <f t="shared" si="11"/>
        <v>-3.0589978436455958E-2</v>
      </c>
      <c r="O59">
        <f t="shared" si="12"/>
        <v>3.0589978436455958E-2</v>
      </c>
      <c r="P59" s="20">
        <f t="shared" si="13"/>
        <v>30.588347606867242</v>
      </c>
    </row>
    <row r="60" spans="1:16" x14ac:dyDescent="0.2">
      <c r="A60" s="20">
        <v>100</v>
      </c>
      <c r="B60" s="20">
        <v>0</v>
      </c>
      <c r="C60" s="20">
        <f t="shared" si="3"/>
        <v>18</v>
      </c>
      <c r="D60" s="20">
        <f t="shared" si="0"/>
        <v>-80</v>
      </c>
      <c r="E60" s="20">
        <f t="shared" si="1"/>
        <v>280</v>
      </c>
      <c r="F60" s="20">
        <f t="shared" si="2"/>
        <v>26.832815729997478</v>
      </c>
      <c r="G60">
        <f t="shared" si="14"/>
        <v>1.9999751733936613</v>
      </c>
      <c r="H60">
        <f t="shared" si="15"/>
        <v>2.7613272365742315E-49</v>
      </c>
      <c r="I60">
        <f t="shared" si="16"/>
        <v>2.6881171418161356E+43</v>
      </c>
      <c r="J60" s="20">
        <f t="shared" si="7"/>
        <v>999.99129808237012</v>
      </c>
      <c r="K60" s="20">
        <f t="shared" si="8"/>
        <v>18.973665961010276</v>
      </c>
      <c r="L60" s="20">
        <f t="shared" si="9"/>
        <v>-0.5</v>
      </c>
      <c r="M60" s="20">
        <f t="shared" si="10"/>
        <v>0.5</v>
      </c>
      <c r="N60">
        <f t="shared" si="11"/>
        <v>-2.9728520174748821E-2</v>
      </c>
      <c r="O60">
        <f t="shared" si="12"/>
        <v>2.9728520174748821E-2</v>
      </c>
      <c r="P60" s="20">
        <f t="shared" si="13"/>
        <v>29.728261479615004</v>
      </c>
    </row>
    <row r="61" spans="1:16" x14ac:dyDescent="0.2">
      <c r="A61" s="20">
        <v>100</v>
      </c>
      <c r="B61" s="20">
        <v>0</v>
      </c>
      <c r="C61" s="20">
        <f t="shared" si="3"/>
        <v>19</v>
      </c>
      <c r="D61" s="20">
        <f t="shared" si="0"/>
        <v>-90</v>
      </c>
      <c r="E61" s="20">
        <f t="shared" si="1"/>
        <v>290</v>
      </c>
      <c r="F61" s="20">
        <f t="shared" si="2"/>
        <v>27.568097504180443</v>
      </c>
      <c r="G61">
        <f t="shared" si="14"/>
        <v>1.999996104900017</v>
      </c>
      <c r="H61">
        <f t="shared" si="15"/>
        <v>4.6706804666515545E-50</v>
      </c>
      <c r="I61">
        <f t="shared" si="16"/>
        <v>2.6881171418161356E+43</v>
      </c>
      <c r="J61" s="20">
        <f t="shared" si="7"/>
        <v>999.99868021681982</v>
      </c>
      <c r="K61" s="20">
        <f t="shared" si="8"/>
        <v>19.493588689617926</v>
      </c>
      <c r="L61" s="20">
        <f t="shared" si="9"/>
        <v>-0.5</v>
      </c>
      <c r="M61" s="20">
        <f t="shared" si="10"/>
        <v>0.5</v>
      </c>
      <c r="N61">
        <f t="shared" si="11"/>
        <v>-2.8935969213203128E-2</v>
      </c>
      <c r="O61">
        <f t="shared" si="12"/>
        <v>2.8935969213203128E-2</v>
      </c>
      <c r="P61" s="20">
        <f t="shared" si="13"/>
        <v>28.935931023997657</v>
      </c>
    </row>
    <row r="62" spans="1:16" x14ac:dyDescent="0.2">
      <c r="A62" s="20">
        <v>100</v>
      </c>
      <c r="B62" s="20">
        <v>0</v>
      </c>
      <c r="C62" s="20">
        <f t="shared" si="3"/>
        <v>20</v>
      </c>
      <c r="D62" s="20">
        <f t="shared" si="0"/>
        <v>-100</v>
      </c>
      <c r="E62" s="20">
        <f t="shared" si="1"/>
        <v>300</v>
      </c>
      <c r="F62" s="20">
        <f t="shared" si="2"/>
        <v>28.284271247461902</v>
      </c>
      <c r="G62">
        <f t="shared" si="14"/>
        <v>1.9999994266968562</v>
      </c>
      <c r="H62">
        <f t="shared" si="15"/>
        <v>7.3419323986253936E-51</v>
      </c>
      <c r="I62">
        <f t="shared" si="16"/>
        <v>2.6881171418161356E+43</v>
      </c>
      <c r="J62" s="20">
        <f t="shared" si="7"/>
        <v>999.99981202829974</v>
      </c>
      <c r="K62" s="20">
        <f t="shared" si="8"/>
        <v>20</v>
      </c>
      <c r="L62" s="20">
        <f t="shared" si="9"/>
        <v>-0.5</v>
      </c>
      <c r="M62" s="20">
        <f t="shared" si="10"/>
        <v>0.5</v>
      </c>
      <c r="N62">
        <f t="shared" si="11"/>
        <v>-2.8203603304328015E-2</v>
      </c>
      <c r="O62">
        <f t="shared" si="12"/>
        <v>2.8203603304328015E-2</v>
      </c>
      <c r="P62" s="20">
        <f t="shared" si="13"/>
        <v>28.20359800284875</v>
      </c>
    </row>
    <row r="63" spans="1:16" x14ac:dyDescent="0.2">
      <c r="A63" s="20">
        <v>100</v>
      </c>
      <c r="B63" s="20">
        <v>0</v>
      </c>
      <c r="C63" s="20">
        <f t="shared" si="3"/>
        <v>21</v>
      </c>
      <c r="D63" s="20">
        <f t="shared" si="0"/>
        <v>-110</v>
      </c>
      <c r="E63" s="20">
        <f t="shared" si="1"/>
        <v>310</v>
      </c>
      <c r="F63" s="20">
        <f t="shared" si="2"/>
        <v>28.982753492378876</v>
      </c>
      <c r="G63">
        <f t="shared" si="14"/>
        <v>1.9999999201425411</v>
      </c>
      <c r="H63">
        <f t="shared" si="15"/>
        <v>1.0838481925169813E-51</v>
      </c>
      <c r="I63">
        <f t="shared" si="16"/>
        <v>2.6881171418161356E+43</v>
      </c>
      <c r="J63" s="20">
        <f t="shared" si="7"/>
        <v>999.99997463882505</v>
      </c>
      <c r="K63" s="20">
        <f t="shared" si="8"/>
        <v>20.493901531919196</v>
      </c>
      <c r="L63" s="20">
        <f t="shared" si="9"/>
        <v>-0.5</v>
      </c>
      <c r="M63" s="20">
        <f t="shared" si="10"/>
        <v>0.5</v>
      </c>
      <c r="N63">
        <f t="shared" si="11"/>
        <v>-2.7524171533585079E-2</v>
      </c>
      <c r="O63">
        <f t="shared" si="12"/>
        <v>2.7524171533585079E-2</v>
      </c>
      <c r="P63" s="20">
        <f t="shared" si="13"/>
        <v>27.524170835539749</v>
      </c>
    </row>
    <row r="64" spans="1:16" x14ac:dyDescent="0.2">
      <c r="A64" s="20">
        <v>100</v>
      </c>
      <c r="B64" s="20">
        <v>0</v>
      </c>
      <c r="C64" s="20">
        <f t="shared" si="3"/>
        <v>22</v>
      </c>
      <c r="D64" s="20">
        <f t="shared" si="0"/>
        <v>-120</v>
      </c>
      <c r="E64" s="20">
        <f t="shared" si="1"/>
        <v>320</v>
      </c>
      <c r="F64" s="20">
        <f t="shared" si="2"/>
        <v>29.664793948382652</v>
      </c>
      <c r="G64">
        <f t="shared" si="14"/>
        <v>1.9999999893961089</v>
      </c>
      <c r="H64">
        <f t="shared" si="15"/>
        <v>1.5156006369142064E-52</v>
      </c>
      <c r="I64">
        <f t="shared" si="16"/>
        <v>2.6881171418161356E+43</v>
      </c>
      <c r="J64" s="20">
        <f t="shared" si="7"/>
        <v>999.99999673511059</v>
      </c>
      <c r="K64" s="20">
        <f t="shared" si="8"/>
        <v>20.976176963403031</v>
      </c>
      <c r="L64" s="20">
        <f t="shared" si="9"/>
        <v>-0.5</v>
      </c>
      <c r="M64" s="20">
        <f t="shared" si="10"/>
        <v>0.5</v>
      </c>
      <c r="N64">
        <f t="shared" si="11"/>
        <v>-2.6891589857170599E-2</v>
      </c>
      <c r="O64">
        <f t="shared" si="12"/>
        <v>2.6891589857170599E-2</v>
      </c>
      <c r="P64" s="20">
        <f t="shared" si="13"/>
        <v>26.891589769372533</v>
      </c>
    </row>
    <row r="65" spans="1:16" x14ac:dyDescent="0.2">
      <c r="A65" s="20">
        <v>100</v>
      </c>
      <c r="B65" s="20">
        <v>0</v>
      </c>
      <c r="C65" s="20">
        <f t="shared" si="3"/>
        <v>23</v>
      </c>
      <c r="D65" s="20">
        <f t="shared" si="0"/>
        <v>-130</v>
      </c>
      <c r="E65" s="20">
        <f t="shared" si="1"/>
        <v>330</v>
      </c>
      <c r="F65" s="20">
        <f t="shared" si="2"/>
        <v>30.331501776206203</v>
      </c>
      <c r="G65">
        <f t="shared" si="14"/>
        <v>1.9999999986495856</v>
      </c>
      <c r="H65">
        <f t="shared" si="15"/>
        <v>2.0218108987561331E-53</v>
      </c>
      <c r="I65">
        <f t="shared" si="16"/>
        <v>2.6881171418161356E+43</v>
      </c>
      <c r="J65" s="20">
        <f t="shared" si="7"/>
        <v>999.99999959653599</v>
      </c>
      <c r="K65" s="20">
        <f t="shared" si="8"/>
        <v>21.447610589527216</v>
      </c>
      <c r="L65" s="20">
        <f t="shared" si="9"/>
        <v>-0.5</v>
      </c>
      <c r="M65" s="20">
        <f t="shared" si="10"/>
        <v>0.5</v>
      </c>
      <c r="N65">
        <f t="shared" si="11"/>
        <v>-2.6300710263153632E-2</v>
      </c>
      <c r="O65">
        <f t="shared" si="12"/>
        <v>2.6300710263153632E-2</v>
      </c>
      <c r="P65" s="20">
        <f t="shared" si="13"/>
        <v>26.300710252542242</v>
      </c>
    </row>
    <row r="66" spans="1:16" x14ac:dyDescent="0.2">
      <c r="A66" s="20">
        <v>100</v>
      </c>
      <c r="B66" s="20">
        <v>0</v>
      </c>
      <c r="C66" s="20">
        <f t="shared" si="3"/>
        <v>24</v>
      </c>
      <c r="D66" s="20">
        <f t="shared" si="0"/>
        <v>-140</v>
      </c>
      <c r="E66" s="20">
        <f t="shared" si="1"/>
        <v>340</v>
      </c>
      <c r="F66" s="20">
        <f t="shared" si="2"/>
        <v>30.983866769659336</v>
      </c>
      <c r="G66">
        <f t="shared" si="14"/>
        <v>1.9999999998342188</v>
      </c>
      <c r="H66">
        <f t="shared" si="15"/>
        <v>2.5882304877029004E-54</v>
      </c>
      <c r="I66">
        <f t="shared" si="16"/>
        <v>2.6881171418161356E+43</v>
      </c>
      <c r="J66" s="20">
        <f t="shared" si="7"/>
        <v>999.99999995189671</v>
      </c>
      <c r="K66" s="20">
        <f t="shared" si="8"/>
        <v>21.908902300206645</v>
      </c>
      <c r="L66" s="20">
        <f t="shared" si="9"/>
        <v>-0.5</v>
      </c>
      <c r="M66" s="20">
        <f t="shared" si="10"/>
        <v>0.5</v>
      </c>
      <c r="N66">
        <f t="shared" si="11"/>
        <v>-2.5747143400456123E-2</v>
      </c>
      <c r="O66">
        <f t="shared" si="12"/>
        <v>2.5747143400456123E-2</v>
      </c>
      <c r="P66" s="20">
        <f t="shared" si="13"/>
        <v>25.747143399217602</v>
      </c>
    </row>
    <row r="67" spans="1:16" x14ac:dyDescent="0.2">
      <c r="A67" s="20">
        <v>100</v>
      </c>
      <c r="B67" s="20">
        <v>0</v>
      </c>
      <c r="C67" s="20">
        <f t="shared" si="3"/>
        <v>25</v>
      </c>
      <c r="D67" s="20">
        <f t="shared" si="0"/>
        <v>-150</v>
      </c>
      <c r="E67" s="20">
        <f t="shared" si="1"/>
        <v>350</v>
      </c>
      <c r="F67" s="20">
        <f t="shared" si="2"/>
        <v>31.622776601683793</v>
      </c>
      <c r="G67">
        <f t="shared" si="14"/>
        <v>1.9999999999802966</v>
      </c>
      <c r="H67">
        <f t="shared" si="15"/>
        <v>3.1954210346212372E-55</v>
      </c>
      <c r="I67">
        <f t="shared" si="16"/>
        <v>2.6881171418161356E+43</v>
      </c>
      <c r="J67" s="20">
        <f t="shared" si="7"/>
        <v>999.9999999944431</v>
      </c>
      <c r="K67" s="20">
        <f t="shared" si="8"/>
        <v>22.360679774997898</v>
      </c>
      <c r="L67" s="20">
        <f t="shared" si="9"/>
        <v>-0.5</v>
      </c>
      <c r="M67" s="20">
        <f t="shared" si="10"/>
        <v>0.5</v>
      </c>
      <c r="N67">
        <f t="shared" si="11"/>
        <v>-2.5227120630039609E-2</v>
      </c>
      <c r="O67">
        <f t="shared" si="12"/>
        <v>2.5227120630039609E-2</v>
      </c>
      <c r="P67" s="20">
        <f t="shared" si="13"/>
        <v>25.227120629899424</v>
      </c>
    </row>
    <row r="68" spans="1:16" x14ac:dyDescent="0.2">
      <c r="A68" s="20">
        <v>100</v>
      </c>
      <c r="B68" s="20">
        <v>0</v>
      </c>
      <c r="C68" s="20">
        <f t="shared" si="3"/>
        <v>26</v>
      </c>
      <c r="D68" s="20">
        <f t="shared" si="0"/>
        <v>-160</v>
      </c>
      <c r="E68" s="20">
        <f t="shared" si="1"/>
        <v>360</v>
      </c>
      <c r="F68" s="20">
        <f t="shared" si="2"/>
        <v>32.249030993194197</v>
      </c>
      <c r="G68">
        <f t="shared" si="14"/>
        <v>1.9999999999977245</v>
      </c>
      <c r="H68">
        <f t="shared" si="15"/>
        <v>3.820673595544808E-56</v>
      </c>
      <c r="I68">
        <f t="shared" si="16"/>
        <v>2.6881171418161356E+43</v>
      </c>
      <c r="J68" s="20">
        <f t="shared" si="7"/>
        <v>999.99999999937575</v>
      </c>
      <c r="K68" s="20">
        <f t="shared" si="8"/>
        <v>22.803508501982758</v>
      </c>
      <c r="L68" s="20">
        <f t="shared" si="9"/>
        <v>-0.5</v>
      </c>
      <c r="M68" s="20">
        <f t="shared" si="10"/>
        <v>0.5</v>
      </c>
      <c r="N68">
        <f t="shared" si="11"/>
        <v>-2.4737385544881248E-2</v>
      </c>
      <c r="O68">
        <f t="shared" si="12"/>
        <v>2.4737385544881248E-2</v>
      </c>
      <c r="P68" s="20">
        <f t="shared" si="13"/>
        <v>24.737385544865806</v>
      </c>
    </row>
    <row r="69" spans="1:16" x14ac:dyDescent="0.2">
      <c r="A69" s="20">
        <v>100</v>
      </c>
      <c r="B69" s="20">
        <v>0</v>
      </c>
      <c r="C69" s="20">
        <f t="shared" si="3"/>
        <v>27</v>
      </c>
      <c r="D69" s="20">
        <f t="shared" si="0"/>
        <v>-170</v>
      </c>
      <c r="E69" s="20">
        <f t="shared" si="1"/>
        <v>370</v>
      </c>
      <c r="F69" s="20">
        <f t="shared" si="2"/>
        <v>32.863353450309965</v>
      </c>
      <c r="G69">
        <f t="shared" si="14"/>
        <v>1.9999999999997438</v>
      </c>
      <c r="H69">
        <f t="shared" si="15"/>
        <v>4.4400912541612869E-57</v>
      </c>
      <c r="I69">
        <f t="shared" si="16"/>
        <v>2.6881171418161356E+43</v>
      </c>
      <c r="J69" s="20">
        <f t="shared" si="7"/>
        <v>999.99999999993156</v>
      </c>
      <c r="K69" s="20">
        <f t="shared" si="8"/>
        <v>23.2379000772445</v>
      </c>
      <c r="L69" s="20">
        <f t="shared" si="9"/>
        <v>-0.5</v>
      </c>
      <c r="M69" s="20">
        <f t="shared" si="10"/>
        <v>0.5</v>
      </c>
      <c r="N69">
        <f t="shared" si="11"/>
        <v>-2.4275107796749632E-2</v>
      </c>
      <c r="O69">
        <f t="shared" si="12"/>
        <v>2.4275107796749632E-2</v>
      </c>
      <c r="P69" s="20">
        <f t="shared" si="13"/>
        <v>24.275107796747971</v>
      </c>
    </row>
    <row r="70" spans="1:16" x14ac:dyDescent="0.2">
      <c r="A70" s="20">
        <v>100</v>
      </c>
      <c r="B70" s="20">
        <v>0</v>
      </c>
      <c r="C70" s="20">
        <f t="shared" si="3"/>
        <v>28</v>
      </c>
      <c r="D70" s="20">
        <f t="shared" si="0"/>
        <v>-180</v>
      </c>
      <c r="E70" s="20">
        <f t="shared" si="1"/>
        <v>380</v>
      </c>
      <c r="F70" s="20">
        <f t="shared" si="2"/>
        <v>33.466401061363023</v>
      </c>
      <c r="G70">
        <f t="shared" si="14"/>
        <v>1.9999999999999718</v>
      </c>
      <c r="H70">
        <f t="shared" si="15"/>
        <v>5.0305460387237033E-58</v>
      </c>
      <c r="I70">
        <f t="shared" si="16"/>
        <v>2.6881171418161356E+43</v>
      </c>
      <c r="J70" s="20">
        <f t="shared" si="7"/>
        <v>999.99999999999272</v>
      </c>
      <c r="K70" s="20">
        <f t="shared" si="8"/>
        <v>23.664319132398465</v>
      </c>
      <c r="L70" s="20">
        <f t="shared" si="9"/>
        <v>-0.5</v>
      </c>
      <c r="M70" s="20">
        <f t="shared" si="10"/>
        <v>0.5</v>
      </c>
      <c r="N70">
        <f t="shared" si="11"/>
        <v>-2.3837814003919457E-2</v>
      </c>
      <c r="O70">
        <f t="shared" si="12"/>
        <v>2.3837814003919457E-2</v>
      </c>
      <c r="P70" s="20">
        <f t="shared" si="13"/>
        <v>23.837814003919284</v>
      </c>
    </row>
    <row r="71" spans="1:16" x14ac:dyDescent="0.2">
      <c r="A71" s="20">
        <v>100</v>
      </c>
      <c r="B71" s="20">
        <v>0</v>
      </c>
      <c r="C71" s="20">
        <f t="shared" si="3"/>
        <v>29</v>
      </c>
      <c r="D71" s="20">
        <f t="shared" si="0"/>
        <v>-190</v>
      </c>
      <c r="E71" s="20">
        <f t="shared" si="1"/>
        <v>390</v>
      </c>
      <c r="F71" s="20">
        <f t="shared" si="2"/>
        <v>34.058772731852805</v>
      </c>
      <c r="G71">
        <f t="shared" si="14"/>
        <v>1.9999999999999969</v>
      </c>
      <c r="H71">
        <f t="shared" si="15"/>
        <v>5.5713043332770849E-59</v>
      </c>
      <c r="I71">
        <f t="shared" si="16"/>
        <v>2.6881171418161356E+43</v>
      </c>
      <c r="J71" s="20">
        <f t="shared" si="7"/>
        <v>999.9999999999992</v>
      </c>
      <c r="K71" s="20">
        <f t="shared" si="8"/>
        <v>24.083189157584592</v>
      </c>
      <c r="L71" s="20">
        <f t="shared" si="9"/>
        <v>-0.5</v>
      </c>
      <c r="M71" s="20">
        <f t="shared" si="10"/>
        <v>0.5</v>
      </c>
      <c r="N71">
        <f t="shared" si="11"/>
        <v>-2.3423331877512967E-2</v>
      </c>
      <c r="O71">
        <f t="shared" si="12"/>
        <v>2.3423331877512967E-2</v>
      </c>
      <c r="P71" s="20">
        <f t="shared" si="13"/>
        <v>23.423331877512947</v>
      </c>
    </row>
    <row r="72" spans="1:16" x14ac:dyDescent="0.2">
      <c r="A72" s="20">
        <v>100</v>
      </c>
      <c r="B72" s="20">
        <v>0</v>
      </c>
      <c r="C72" s="20">
        <f t="shared" si="3"/>
        <v>30</v>
      </c>
      <c r="D72" s="20">
        <f t="shared" si="0"/>
        <v>-200</v>
      </c>
      <c r="E72" s="20">
        <f t="shared" si="1"/>
        <v>400</v>
      </c>
      <c r="F72" s="20">
        <f t="shared" si="2"/>
        <v>34.641016151377549</v>
      </c>
      <c r="G72">
        <f t="shared" si="14"/>
        <v>1.9999999999999998</v>
      </c>
      <c r="H72">
        <f t="shared" si="15"/>
        <v>6.0452068200849969E-60</v>
      </c>
      <c r="I72">
        <f t="shared" si="16"/>
        <v>2.6881171418161356E+43</v>
      </c>
      <c r="J72" s="20">
        <f t="shared" si="7"/>
        <v>1000</v>
      </c>
      <c r="K72" s="20">
        <f t="shared" si="8"/>
        <v>24.494897427831781</v>
      </c>
      <c r="L72" s="20">
        <f t="shared" si="9"/>
        <v>-0.5</v>
      </c>
      <c r="M72" s="20">
        <f t="shared" si="10"/>
        <v>0.5</v>
      </c>
      <c r="N72">
        <f t="shared" si="11"/>
        <v>-2.3029744678024343E-2</v>
      </c>
      <c r="O72">
        <f t="shared" si="12"/>
        <v>2.3029744678024343E-2</v>
      </c>
      <c r="P72" s="20">
        <f t="shared" si="13"/>
        <v>23.029744678024343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L73"/>
  <sheetViews>
    <sheetView topLeftCell="A21" workbookViewId="0">
      <selection activeCell="B39" sqref="B39"/>
    </sheetView>
  </sheetViews>
  <sheetFormatPr baseColWidth="10" defaultRowHeight="16" x14ac:dyDescent="0.2"/>
  <cols>
    <col min="1" max="1" width="20.1640625" customWidth="1"/>
  </cols>
  <sheetData>
    <row r="1" spans="1:12" x14ac:dyDescent="0.2">
      <c r="A1" s="20" t="s">
        <v>32</v>
      </c>
      <c r="B1" s="20" t="s">
        <v>143</v>
      </c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x14ac:dyDescent="0.2">
      <c r="A2" s="3" t="s">
        <v>191</v>
      </c>
      <c r="B2" s="3" t="s">
        <v>208</v>
      </c>
      <c r="C2" s="20"/>
      <c r="D2" s="20"/>
      <c r="E2" s="20"/>
      <c r="F2" s="20"/>
      <c r="G2" s="20"/>
      <c r="H2" s="20"/>
      <c r="I2" s="20"/>
      <c r="J2" s="20"/>
      <c r="K2" s="20"/>
      <c r="L2" s="20"/>
    </row>
    <row r="3" spans="1:12" x14ac:dyDescent="0.2">
      <c r="A3" s="20" t="s">
        <v>17</v>
      </c>
      <c r="B3" s="20">
        <v>2</v>
      </c>
      <c r="C3" s="20"/>
      <c r="D3" s="20"/>
      <c r="E3" s="20"/>
      <c r="F3" s="20"/>
      <c r="G3" s="20"/>
      <c r="H3" s="20"/>
      <c r="I3" s="20"/>
      <c r="J3" s="20"/>
      <c r="K3" s="20"/>
      <c r="L3" s="20"/>
    </row>
    <row r="4" spans="1:12" x14ac:dyDescent="0.2">
      <c r="A4" s="20" t="s">
        <v>18</v>
      </c>
      <c r="B4" s="20" t="s">
        <v>19</v>
      </c>
      <c r="C4" s="20"/>
      <c r="D4" s="20"/>
      <c r="E4" s="20"/>
      <c r="F4" s="20"/>
      <c r="G4" s="20"/>
      <c r="H4" s="20"/>
      <c r="I4" s="20"/>
      <c r="J4" s="20"/>
      <c r="K4" s="20"/>
      <c r="L4" s="20"/>
    </row>
    <row r="5" spans="1:12" x14ac:dyDescent="0.2">
      <c r="A5" s="20" t="s">
        <v>20</v>
      </c>
      <c r="B5" s="20" t="s">
        <v>19</v>
      </c>
      <c r="C5" s="20"/>
      <c r="D5" s="20"/>
      <c r="E5" s="20"/>
      <c r="F5" s="20"/>
      <c r="G5" s="20"/>
      <c r="H5" s="20"/>
      <c r="I5" s="20"/>
      <c r="J5" s="20"/>
      <c r="K5" s="20"/>
      <c r="L5" s="20"/>
    </row>
    <row r="6" spans="1:12" x14ac:dyDescent="0.2">
      <c r="A6" s="20" t="s">
        <v>21</v>
      </c>
      <c r="B6" s="20" t="s">
        <v>81</v>
      </c>
      <c r="C6" s="20"/>
      <c r="D6" s="20"/>
      <c r="E6" s="20"/>
      <c r="F6" s="20"/>
      <c r="G6" s="20"/>
      <c r="H6" s="20"/>
      <c r="I6" s="20"/>
      <c r="J6" s="20"/>
      <c r="K6" s="20"/>
      <c r="L6" s="20"/>
    </row>
    <row r="7" spans="1:12" x14ac:dyDescent="0.2">
      <c r="A7" s="20" t="s">
        <v>23</v>
      </c>
      <c r="B7" s="20" t="s">
        <v>82</v>
      </c>
      <c r="C7" s="20"/>
      <c r="D7" s="20"/>
      <c r="E7" s="20"/>
      <c r="F7" s="20"/>
      <c r="G7" s="20"/>
      <c r="H7" s="20"/>
      <c r="I7" s="20"/>
      <c r="J7" s="20"/>
      <c r="K7" s="20"/>
      <c r="L7" s="20"/>
    </row>
    <row r="8" spans="1:12" x14ac:dyDescent="0.2">
      <c r="A8" s="20" t="s">
        <v>25</v>
      </c>
      <c r="B8" s="20" t="s">
        <v>26</v>
      </c>
      <c r="C8" s="20"/>
      <c r="D8" s="20"/>
      <c r="E8" s="20"/>
      <c r="F8" s="20"/>
      <c r="G8" s="20"/>
      <c r="H8" s="20"/>
      <c r="I8" s="20"/>
      <c r="J8" s="20"/>
      <c r="K8" s="20"/>
      <c r="L8" s="20"/>
    </row>
    <row r="9" spans="1:12" x14ac:dyDescent="0.2">
      <c r="A9" s="20" t="s">
        <v>27</v>
      </c>
      <c r="B9" s="20" t="s">
        <v>26</v>
      </c>
      <c r="C9" s="20"/>
      <c r="D9" s="20"/>
      <c r="E9" s="20"/>
      <c r="F9" s="20"/>
      <c r="G9" s="20"/>
      <c r="H9" s="20"/>
      <c r="I9" s="20"/>
      <c r="J9" s="20"/>
      <c r="K9" s="20"/>
      <c r="L9" s="20"/>
    </row>
    <row r="10" spans="1:12" x14ac:dyDescent="0.2">
      <c r="A10" s="20" t="s">
        <v>28</v>
      </c>
      <c r="B10" s="20" t="s">
        <v>83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2">
      <c r="A11" s="20" t="s">
        <v>30</v>
      </c>
      <c r="B11" s="20" t="s">
        <v>84</v>
      </c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2">
      <c r="A12" s="20" t="s">
        <v>85</v>
      </c>
      <c r="B12" s="20" t="s">
        <v>86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2">
      <c r="A13" s="20" t="s">
        <v>87</v>
      </c>
      <c r="B13" s="20" t="s">
        <v>88</v>
      </c>
      <c r="C13" s="20"/>
      <c r="D13" s="20"/>
      <c r="E13" s="20"/>
      <c r="F13" s="20"/>
      <c r="G13" s="20"/>
      <c r="H13" s="20"/>
      <c r="I13" s="20"/>
      <c r="J13" s="20"/>
      <c r="K13" s="20"/>
      <c r="L13" s="20"/>
    </row>
    <row r="14" spans="1:12" x14ac:dyDescent="0.2">
      <c r="A14" s="20"/>
      <c r="B14" s="20" t="s">
        <v>89</v>
      </c>
      <c r="C14" s="20"/>
      <c r="D14" s="20"/>
      <c r="E14" s="20"/>
      <c r="F14" s="20"/>
      <c r="G14" s="20"/>
      <c r="H14" s="20"/>
      <c r="I14" s="20"/>
      <c r="J14" s="20"/>
      <c r="K14" s="20"/>
      <c r="L14" s="20"/>
    </row>
    <row r="15" spans="1:12" x14ac:dyDescent="0.2">
      <c r="A15" s="20"/>
      <c r="B15" s="20" t="s">
        <v>90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</row>
    <row r="16" spans="1:12" x14ac:dyDescent="0.2">
      <c r="A16" s="20"/>
      <c r="B16" s="20" t="s">
        <v>91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</row>
    <row r="17" spans="1:12" x14ac:dyDescent="0.2">
      <c r="A17" s="20"/>
      <c r="B17" s="20" t="s">
        <v>132</v>
      </c>
      <c r="C17" s="20"/>
      <c r="D17" s="20"/>
      <c r="E17" s="20"/>
      <c r="F17" s="20"/>
      <c r="G17" s="20"/>
      <c r="H17" s="20"/>
      <c r="I17" s="20"/>
      <c r="J17" s="20"/>
      <c r="K17" s="20"/>
      <c r="L17" s="20"/>
    </row>
    <row r="18" spans="1:12" x14ac:dyDescent="0.2">
      <c r="A18" s="20" t="s">
        <v>93</v>
      </c>
      <c r="B18" s="20" t="s">
        <v>131</v>
      </c>
      <c r="C18" s="20"/>
      <c r="D18" s="20"/>
      <c r="E18" s="20"/>
      <c r="F18" s="20"/>
      <c r="G18" s="20"/>
      <c r="H18" s="20"/>
      <c r="I18" s="20"/>
      <c r="J18" s="20"/>
      <c r="K18" s="20"/>
      <c r="L18" s="20"/>
    </row>
    <row r="19" spans="1:12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</row>
    <row r="20" spans="1:12" x14ac:dyDescent="0.2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</row>
    <row r="21" spans="1:12" x14ac:dyDescent="0.2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</row>
    <row r="22" spans="1:12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</row>
    <row r="23" spans="1:12" x14ac:dyDescent="0.2">
      <c r="A23" s="20" t="s">
        <v>33</v>
      </c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</row>
    <row r="24" spans="1:12" x14ac:dyDescent="0.2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</row>
    <row r="25" spans="1:12" x14ac:dyDescent="0.2">
      <c r="A25" s="21" t="s">
        <v>94</v>
      </c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</row>
    <row r="26" spans="1:12" ht="19" x14ac:dyDescent="0.2">
      <c r="A26" s="20" t="s">
        <v>34</v>
      </c>
      <c r="B26" s="20">
        <v>1000</v>
      </c>
      <c r="C26" s="20" t="s">
        <v>150</v>
      </c>
      <c r="D26" s="20"/>
      <c r="E26" s="20"/>
      <c r="F26" s="20"/>
      <c r="G26" s="20"/>
      <c r="H26" s="20"/>
      <c r="I26" s="20"/>
      <c r="J26" s="20"/>
      <c r="K26" s="20"/>
      <c r="L26" s="20"/>
    </row>
    <row r="27" spans="1:12" x14ac:dyDescent="0.2">
      <c r="A27" s="20" t="s">
        <v>36</v>
      </c>
      <c r="B27" s="20">
        <v>10</v>
      </c>
      <c r="C27" s="20" t="s">
        <v>133</v>
      </c>
      <c r="D27" s="20"/>
      <c r="E27" s="20"/>
      <c r="F27" s="20"/>
      <c r="G27" s="20"/>
      <c r="H27" s="20"/>
      <c r="I27" s="20"/>
      <c r="J27" s="20"/>
      <c r="K27" s="20"/>
      <c r="L27" s="20"/>
    </row>
    <row r="28" spans="1:12" x14ac:dyDescent="0.2">
      <c r="A28" s="20" t="s">
        <v>39</v>
      </c>
      <c r="B28" s="20">
        <v>0.5</v>
      </c>
      <c r="C28" s="20" t="s">
        <v>40</v>
      </c>
      <c r="D28" s="20"/>
      <c r="E28" s="20"/>
      <c r="F28" s="20"/>
      <c r="G28" s="20"/>
      <c r="H28" s="20"/>
      <c r="I28" s="20"/>
      <c r="J28" s="20"/>
      <c r="K28" s="20"/>
      <c r="L28" s="20"/>
    </row>
    <row r="29" spans="1:12" x14ac:dyDescent="0.2">
      <c r="A29" s="20" t="s">
        <v>96</v>
      </c>
      <c r="B29" s="20">
        <v>0.2</v>
      </c>
      <c r="C29" s="20" t="s">
        <v>134</v>
      </c>
      <c r="D29" s="20"/>
      <c r="E29" s="20"/>
      <c r="F29" s="20"/>
      <c r="G29" s="20"/>
      <c r="H29" s="20"/>
      <c r="I29" s="20"/>
      <c r="J29" s="20"/>
      <c r="K29" s="20"/>
      <c r="L29" s="20"/>
    </row>
    <row r="30" spans="1:12" x14ac:dyDescent="0.2">
      <c r="A30" s="20" t="s">
        <v>99</v>
      </c>
      <c r="B30" s="20">
        <v>0.1</v>
      </c>
      <c r="C30" s="20" t="s">
        <v>135</v>
      </c>
      <c r="D30" s="20"/>
      <c r="E30" s="20"/>
      <c r="F30" s="20"/>
      <c r="G30" s="20"/>
      <c r="H30" s="20"/>
      <c r="I30" s="20"/>
      <c r="J30" s="20"/>
      <c r="K30" s="20"/>
      <c r="L30" s="20"/>
    </row>
    <row r="31" spans="1:12" x14ac:dyDescent="0.2">
      <c r="A31" s="20" t="s">
        <v>136</v>
      </c>
      <c r="B31" s="20">
        <v>10</v>
      </c>
      <c r="C31" s="20" t="s">
        <v>137</v>
      </c>
      <c r="D31" s="20"/>
      <c r="E31" s="20"/>
      <c r="F31" s="20"/>
      <c r="G31" s="20"/>
      <c r="H31" s="20"/>
      <c r="I31" s="20"/>
      <c r="J31" s="20"/>
      <c r="K31" s="20"/>
      <c r="L31" s="20"/>
    </row>
    <row r="32" spans="1:12" x14ac:dyDescent="0.2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</row>
    <row r="33" spans="1:12" x14ac:dyDescent="0.2">
      <c r="A33" s="21" t="s">
        <v>103</v>
      </c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</row>
    <row r="34" spans="1:12" x14ac:dyDescent="0.2">
      <c r="A34" s="20" t="s">
        <v>138</v>
      </c>
      <c r="B34" s="20">
        <f>B27/B28</f>
        <v>20</v>
      </c>
      <c r="C34" s="20" t="s">
        <v>139</v>
      </c>
      <c r="D34" s="20"/>
      <c r="E34" s="20"/>
      <c r="F34" s="20"/>
      <c r="G34" s="20"/>
      <c r="H34" s="20"/>
      <c r="I34" s="20"/>
      <c r="J34" s="20"/>
      <c r="K34" s="20"/>
      <c r="L34" s="20"/>
    </row>
    <row r="35" spans="1:12" ht="19" x14ac:dyDescent="0.2">
      <c r="A35" s="20" t="s">
        <v>104</v>
      </c>
      <c r="B35" s="20">
        <f>B29*$B$34</f>
        <v>4</v>
      </c>
      <c r="C35" s="20" t="s">
        <v>151</v>
      </c>
      <c r="D35" s="20"/>
      <c r="E35" s="20"/>
      <c r="F35" s="20"/>
      <c r="G35" s="20"/>
      <c r="H35" s="20"/>
      <c r="I35" s="20"/>
      <c r="J35" s="20"/>
      <c r="K35" s="20"/>
      <c r="L35" s="20"/>
    </row>
    <row r="36" spans="1:12" ht="19" x14ac:dyDescent="0.2">
      <c r="A36" s="20" t="s">
        <v>107</v>
      </c>
      <c r="B36" s="20">
        <f>B30*B34</f>
        <v>2</v>
      </c>
      <c r="C36" s="20" t="s">
        <v>152</v>
      </c>
      <c r="D36" s="20"/>
      <c r="E36" s="20"/>
      <c r="F36" s="20"/>
      <c r="G36" s="20"/>
      <c r="H36" s="20"/>
      <c r="I36" s="20"/>
      <c r="J36" s="20"/>
      <c r="K36" s="20"/>
      <c r="L36" s="20"/>
    </row>
    <row r="37" spans="1:12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</row>
    <row r="38" spans="1:12" x14ac:dyDescent="0.2">
      <c r="A38" s="20"/>
      <c r="B38" s="3" t="str">
        <f>CONCATENATE("Concentation History for Observation Location at ",B43," (meters) Downgradient of Source; Offset ",C43," (meters) from plume centerline")</f>
        <v>Concentation History for Observation Location at 100 (meters) Downgradient of Source; Offset 12 (meters) from plume centerline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</row>
    <row r="39" spans="1:12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</row>
    <row r="40" spans="1:12" x14ac:dyDescent="0.2">
      <c r="A40" s="21" t="s">
        <v>140</v>
      </c>
      <c r="B40" s="20"/>
      <c r="C40" s="20"/>
      <c r="D40" s="23"/>
      <c r="E40" s="24"/>
      <c r="F40" s="35" t="s">
        <v>53</v>
      </c>
      <c r="G40" s="24"/>
      <c r="H40" s="24"/>
      <c r="I40" s="24"/>
      <c r="J40" s="24"/>
      <c r="K40" s="25"/>
      <c r="L40" s="21" t="s">
        <v>109</v>
      </c>
    </row>
    <row r="41" spans="1:12" x14ac:dyDescent="0.2">
      <c r="A41" s="20"/>
      <c r="B41" s="20"/>
      <c r="C41" s="20"/>
      <c r="D41" s="36" t="s">
        <v>55</v>
      </c>
      <c r="E41" s="28" t="s">
        <v>56</v>
      </c>
      <c r="F41" s="28" t="s">
        <v>57</v>
      </c>
      <c r="G41" s="28" t="s">
        <v>58</v>
      </c>
      <c r="H41" s="28" t="s">
        <v>59</v>
      </c>
      <c r="I41" s="28" t="s">
        <v>60</v>
      </c>
      <c r="J41" s="28" t="s">
        <v>61</v>
      </c>
      <c r="K41" s="29" t="s">
        <v>110</v>
      </c>
      <c r="L41" s="28" t="s">
        <v>111</v>
      </c>
    </row>
    <row r="42" spans="1:12" ht="87" x14ac:dyDescent="0.2">
      <c r="A42" s="30" t="s">
        <v>63</v>
      </c>
      <c r="B42" s="30" t="s">
        <v>62</v>
      </c>
      <c r="C42" s="30" t="s">
        <v>141</v>
      </c>
      <c r="D42" s="31" t="s">
        <v>64</v>
      </c>
      <c r="E42" s="32" t="s">
        <v>153</v>
      </c>
      <c r="F42" s="32" t="s">
        <v>154</v>
      </c>
      <c r="G42" s="32" t="s">
        <v>119</v>
      </c>
      <c r="H42" s="32" t="s">
        <v>120</v>
      </c>
      <c r="I42" s="32" t="s">
        <v>142</v>
      </c>
      <c r="J42" s="32" t="s">
        <v>121</v>
      </c>
      <c r="K42" s="33" t="s">
        <v>122</v>
      </c>
      <c r="L42" s="30" t="s">
        <v>155</v>
      </c>
    </row>
    <row r="43" spans="1:12" x14ac:dyDescent="0.2">
      <c r="A43" s="37">
        <v>0</v>
      </c>
      <c r="B43" s="37">
        <v>100</v>
      </c>
      <c r="C43" s="37">
        <v>12</v>
      </c>
      <c r="D43" s="20">
        <f>B43-$B$34*A43</f>
        <v>100</v>
      </c>
      <c r="E43" s="20">
        <f>2*SQRT($B$35*A43)</f>
        <v>0</v>
      </c>
      <c r="F43" s="20">
        <f>2*SQRT($B$36*A43)</f>
        <v>0</v>
      </c>
      <c r="G43" s="20">
        <f>C43-0.5*$B$31</f>
        <v>7</v>
      </c>
      <c r="H43" s="20">
        <f>C43+0.5*$B$31</f>
        <v>17</v>
      </c>
      <c r="I43" s="22" t="e">
        <f>ERFC(D43/E43)</f>
        <v>#DIV/0!</v>
      </c>
      <c r="J43" s="22" t="e">
        <f>ERF(G43/F43)</f>
        <v>#DIV/0!</v>
      </c>
      <c r="K43" s="22" t="e">
        <f>ERF(H43/F43)</f>
        <v>#DIV/0!</v>
      </c>
      <c r="L43" s="37">
        <f>IF(AND(OR(B43&gt;0,C43&gt;0),A43&lt;=0),0,0.25*$B$26*(I43*(K43-J43)))</f>
        <v>0</v>
      </c>
    </row>
    <row r="44" spans="1:12" x14ac:dyDescent="0.2">
      <c r="A44" s="37">
        <v>1</v>
      </c>
      <c r="B44" s="37">
        <f>B43</f>
        <v>100</v>
      </c>
      <c r="C44" s="37">
        <f>C43</f>
        <v>12</v>
      </c>
      <c r="D44" s="20">
        <f t="shared" ref="D44:D73" si="0">B44-$B$34*A44</f>
        <v>80</v>
      </c>
      <c r="E44" s="20">
        <f t="shared" ref="E44:E73" si="1">2*SQRT($B$35*A44)</f>
        <v>4</v>
      </c>
      <c r="F44" s="20">
        <f t="shared" ref="F44:F73" si="2">2*SQRT($B$36*A44)</f>
        <v>2.8284271247461903</v>
      </c>
      <c r="G44" s="20">
        <f t="shared" ref="G44:G73" si="3">C44-0.5*$B$31</f>
        <v>7</v>
      </c>
      <c r="H44" s="20">
        <f t="shared" ref="H44:H73" si="4">C44+0.5*$B$31</f>
        <v>17</v>
      </c>
      <c r="I44" s="22">
        <f t="shared" ref="I44:I73" si="5">ERFC(D44/E44)</f>
        <v>5.3958656116078998E-176</v>
      </c>
      <c r="J44" s="22">
        <f t="shared" ref="J44:J73" si="6">ERF(G44/F44)</f>
        <v>0.99953474184192892</v>
      </c>
      <c r="K44" s="22">
        <f t="shared" ref="K44:K73" si="7">ERF(H44/F44)</f>
        <v>1</v>
      </c>
      <c r="L44" s="37">
        <f t="shared" ref="L44:L73" si="8">IF(AND(OR(B44&gt;0,C44&gt;0),A44&lt;=0),0,0.25*$B$26*(I44*(K44-J44)))</f>
        <v>6.2761762391394354E-177</v>
      </c>
    </row>
    <row r="45" spans="1:12" x14ac:dyDescent="0.2">
      <c r="A45" s="37">
        <v>2</v>
      </c>
      <c r="B45" s="37">
        <f t="shared" ref="B45:C73" si="9">B44</f>
        <v>100</v>
      </c>
      <c r="C45" s="37">
        <f t="shared" si="9"/>
        <v>12</v>
      </c>
      <c r="D45" s="20">
        <f t="shared" si="0"/>
        <v>60</v>
      </c>
      <c r="E45" s="20">
        <f t="shared" si="1"/>
        <v>5.6568542494923806</v>
      </c>
      <c r="F45" s="20">
        <f t="shared" si="2"/>
        <v>4</v>
      </c>
      <c r="G45" s="20">
        <f t="shared" si="3"/>
        <v>7</v>
      </c>
      <c r="H45" s="20">
        <f t="shared" si="4"/>
        <v>17</v>
      </c>
      <c r="I45" s="22">
        <f t="shared" si="5"/>
        <v>7.3419323986257094E-51</v>
      </c>
      <c r="J45" s="22">
        <f t="shared" si="6"/>
        <v>0.98667167121918242</v>
      </c>
      <c r="K45" s="22">
        <f t="shared" si="7"/>
        <v>0.99999999814942586</v>
      </c>
      <c r="L45" s="37">
        <f t="shared" si="8"/>
        <v>2.4463918827157461E-50</v>
      </c>
    </row>
    <row r="46" spans="1:12" x14ac:dyDescent="0.2">
      <c r="A46" s="37">
        <v>3</v>
      </c>
      <c r="B46" s="37">
        <f t="shared" si="9"/>
        <v>100</v>
      </c>
      <c r="C46" s="37">
        <f t="shared" si="9"/>
        <v>12</v>
      </c>
      <c r="D46" s="20">
        <f t="shared" si="0"/>
        <v>40</v>
      </c>
      <c r="E46" s="20">
        <f t="shared" si="1"/>
        <v>6.9282032302755088</v>
      </c>
      <c r="F46" s="20">
        <f t="shared" si="2"/>
        <v>4.8989794855663558</v>
      </c>
      <c r="G46" s="20">
        <f t="shared" si="3"/>
        <v>7</v>
      </c>
      <c r="H46" s="20">
        <f t="shared" si="4"/>
        <v>17</v>
      </c>
      <c r="I46" s="22">
        <f t="shared" si="5"/>
        <v>3.215262727387099E-16</v>
      </c>
      <c r="J46" s="22">
        <f t="shared" si="6"/>
        <v>0.95669185718920802</v>
      </c>
      <c r="K46" s="22">
        <f t="shared" si="7"/>
        <v>0.99999907744665339</v>
      </c>
      <c r="L46" s="37">
        <f t="shared" si="8"/>
        <v>3.481102278012691E-15</v>
      </c>
    </row>
    <row r="47" spans="1:12" x14ac:dyDescent="0.2">
      <c r="A47" s="37">
        <v>4</v>
      </c>
      <c r="B47" s="37">
        <f t="shared" si="9"/>
        <v>100</v>
      </c>
      <c r="C47" s="37">
        <f t="shared" si="9"/>
        <v>12</v>
      </c>
      <c r="D47" s="20">
        <f t="shared" si="0"/>
        <v>20</v>
      </c>
      <c r="E47" s="20">
        <f t="shared" si="1"/>
        <v>8</v>
      </c>
      <c r="F47" s="20">
        <f t="shared" si="2"/>
        <v>5.6568542494923806</v>
      </c>
      <c r="G47" s="20">
        <f t="shared" si="3"/>
        <v>7</v>
      </c>
      <c r="H47" s="20">
        <f t="shared" si="4"/>
        <v>17</v>
      </c>
      <c r="I47" s="22">
        <f t="shared" si="5"/>
        <v>4.0695201744495886E-4</v>
      </c>
      <c r="J47" s="22">
        <f t="shared" si="6"/>
        <v>0.91988168627236577</v>
      </c>
      <c r="K47" s="22">
        <f t="shared" si="7"/>
        <v>0.99997862294845008</v>
      </c>
      <c r="L47" s="37">
        <f t="shared" si="8"/>
        <v>8.1489024928734066E-3</v>
      </c>
    </row>
    <row r="48" spans="1:12" x14ac:dyDescent="0.2">
      <c r="A48" s="37">
        <v>5</v>
      </c>
      <c r="B48" s="37">
        <f t="shared" si="9"/>
        <v>100</v>
      </c>
      <c r="C48" s="37">
        <f t="shared" si="9"/>
        <v>12</v>
      </c>
      <c r="D48" s="20">
        <f t="shared" si="0"/>
        <v>0</v>
      </c>
      <c r="E48" s="20">
        <f t="shared" si="1"/>
        <v>8.9442719099991592</v>
      </c>
      <c r="F48" s="20">
        <f t="shared" si="2"/>
        <v>6.324555320336759</v>
      </c>
      <c r="G48" s="20">
        <f t="shared" si="3"/>
        <v>7</v>
      </c>
      <c r="H48" s="20">
        <f t="shared" si="4"/>
        <v>17</v>
      </c>
      <c r="I48" s="22">
        <f t="shared" si="5"/>
        <v>1</v>
      </c>
      <c r="J48" s="22">
        <f t="shared" si="6"/>
        <v>0.8824751319033608</v>
      </c>
      <c r="K48" s="22">
        <f t="shared" si="7"/>
        <v>0.99985607014350286</v>
      </c>
      <c r="L48" s="37">
        <f t="shared" si="8"/>
        <v>29.345234560035514</v>
      </c>
    </row>
    <row r="49" spans="1:12" x14ac:dyDescent="0.2">
      <c r="A49" s="37">
        <v>6</v>
      </c>
      <c r="B49" s="37">
        <f t="shared" si="9"/>
        <v>100</v>
      </c>
      <c r="C49" s="37">
        <f t="shared" si="9"/>
        <v>12</v>
      </c>
      <c r="D49" s="20">
        <f t="shared" si="0"/>
        <v>-20</v>
      </c>
      <c r="E49" s="20">
        <f t="shared" si="1"/>
        <v>9.7979589711327115</v>
      </c>
      <c r="F49" s="20">
        <f t="shared" si="2"/>
        <v>6.9282032302755088</v>
      </c>
      <c r="G49" s="20">
        <f t="shared" si="3"/>
        <v>7</v>
      </c>
      <c r="H49" s="20">
        <f t="shared" si="4"/>
        <v>17</v>
      </c>
      <c r="I49" s="22">
        <f t="shared" si="5"/>
        <v>1.9961075828772215</v>
      </c>
      <c r="J49" s="22">
        <f t="shared" si="6"/>
        <v>0.84695811584117986</v>
      </c>
      <c r="K49" s="22">
        <f t="shared" si="7"/>
        <v>0.99947975565240976</v>
      </c>
      <c r="L49" s="37">
        <f t="shared" si="8"/>
        <v>76.112400445016078</v>
      </c>
    </row>
    <row r="50" spans="1:12" x14ac:dyDescent="0.2">
      <c r="A50" s="37">
        <v>7</v>
      </c>
      <c r="B50" s="37">
        <f t="shared" si="9"/>
        <v>100</v>
      </c>
      <c r="C50" s="37">
        <f t="shared" si="9"/>
        <v>12</v>
      </c>
      <c r="D50" s="20">
        <f t="shared" si="0"/>
        <v>-40</v>
      </c>
      <c r="E50" s="20">
        <f t="shared" si="1"/>
        <v>10.583005244258363</v>
      </c>
      <c r="F50" s="20">
        <f t="shared" si="2"/>
        <v>7.4833147735478827</v>
      </c>
      <c r="G50" s="20">
        <f t="shared" si="3"/>
        <v>7</v>
      </c>
      <c r="H50" s="20">
        <f t="shared" si="4"/>
        <v>17</v>
      </c>
      <c r="I50" s="22">
        <f t="shared" si="5"/>
        <v>1.9999999096951131</v>
      </c>
      <c r="J50" s="22">
        <f t="shared" si="6"/>
        <v>0.81412326763412413</v>
      </c>
      <c r="K50" s="22">
        <f t="shared" si="7"/>
        <v>0.99868505533028673</v>
      </c>
      <c r="L50" s="37">
        <f t="shared" si="8"/>
        <v>92.280889681373466</v>
      </c>
    </row>
    <row r="51" spans="1:12" x14ac:dyDescent="0.2">
      <c r="A51" s="37">
        <v>8</v>
      </c>
      <c r="B51" s="37">
        <f t="shared" si="9"/>
        <v>100</v>
      </c>
      <c r="C51" s="37">
        <f t="shared" si="9"/>
        <v>12</v>
      </c>
      <c r="D51" s="20">
        <f t="shared" si="0"/>
        <v>-60</v>
      </c>
      <c r="E51" s="20">
        <f t="shared" si="1"/>
        <v>11.313708498984761</v>
      </c>
      <c r="F51" s="20">
        <f t="shared" si="2"/>
        <v>8</v>
      </c>
      <c r="G51" s="20">
        <f t="shared" si="3"/>
        <v>7</v>
      </c>
      <c r="H51" s="20">
        <f t="shared" si="4"/>
        <v>17</v>
      </c>
      <c r="I51" s="22">
        <f t="shared" si="5"/>
        <v>1.9999999999999363</v>
      </c>
      <c r="J51" s="22">
        <f t="shared" si="6"/>
        <v>0.78407506105985969</v>
      </c>
      <c r="K51" s="22">
        <f t="shared" si="7"/>
        <v>0.99734597064051767</v>
      </c>
      <c r="L51" s="37">
        <f t="shared" si="8"/>
        <v>106.63545479032558</v>
      </c>
    </row>
    <row r="52" spans="1:12" x14ac:dyDescent="0.2">
      <c r="A52" s="37">
        <v>9</v>
      </c>
      <c r="B52" s="37">
        <f t="shared" si="9"/>
        <v>100</v>
      </c>
      <c r="C52" s="37">
        <f t="shared" si="9"/>
        <v>12</v>
      </c>
      <c r="D52" s="20">
        <f t="shared" si="0"/>
        <v>-80</v>
      </c>
      <c r="E52" s="20">
        <f t="shared" si="1"/>
        <v>12</v>
      </c>
      <c r="F52" s="20">
        <f t="shared" si="2"/>
        <v>8.4852813742385695</v>
      </c>
      <c r="G52" s="20">
        <f t="shared" si="3"/>
        <v>7</v>
      </c>
      <c r="H52" s="20">
        <f t="shared" si="4"/>
        <v>17</v>
      </c>
      <c r="I52" s="22">
        <f t="shared" si="5"/>
        <v>2</v>
      </c>
      <c r="J52" s="22">
        <f t="shared" si="6"/>
        <v>0.75665499085123744</v>
      </c>
      <c r="K52" s="22">
        <f t="shared" si="7"/>
        <v>0.9953934677366082</v>
      </c>
      <c r="L52" s="37">
        <f t="shared" si="8"/>
        <v>119.36923844268537</v>
      </c>
    </row>
    <row r="53" spans="1:12" x14ac:dyDescent="0.2">
      <c r="A53" s="37">
        <v>10</v>
      </c>
      <c r="B53" s="37">
        <f t="shared" si="9"/>
        <v>100</v>
      </c>
      <c r="C53" s="37">
        <f t="shared" si="9"/>
        <v>12</v>
      </c>
      <c r="D53" s="20">
        <f t="shared" si="0"/>
        <v>-100</v>
      </c>
      <c r="E53" s="20">
        <f t="shared" si="1"/>
        <v>12.649110640673518</v>
      </c>
      <c r="F53" s="20">
        <f t="shared" si="2"/>
        <v>8.9442719099991592</v>
      </c>
      <c r="G53" s="20">
        <f t="shared" si="3"/>
        <v>7</v>
      </c>
      <c r="H53" s="20">
        <f t="shared" si="4"/>
        <v>17</v>
      </c>
      <c r="I53" s="22">
        <f t="shared" si="5"/>
        <v>2</v>
      </c>
      <c r="J53" s="22">
        <f t="shared" si="6"/>
        <v>0.73161837270723917</v>
      </c>
      <c r="K53" s="22">
        <f t="shared" si="7"/>
        <v>0.99281048274983497</v>
      </c>
      <c r="L53" s="37">
        <f t="shared" si="8"/>
        <v>130.5960550212979</v>
      </c>
    </row>
    <row r="54" spans="1:12" x14ac:dyDescent="0.2">
      <c r="A54" s="37">
        <v>11</v>
      </c>
      <c r="B54" s="37">
        <f t="shared" si="9"/>
        <v>100</v>
      </c>
      <c r="C54" s="37">
        <f t="shared" si="9"/>
        <v>12</v>
      </c>
      <c r="D54" s="20">
        <f t="shared" si="0"/>
        <v>-120</v>
      </c>
      <c r="E54" s="20">
        <f t="shared" si="1"/>
        <v>13.266499161421599</v>
      </c>
      <c r="F54" s="20">
        <f t="shared" si="2"/>
        <v>9.3808315196468595</v>
      </c>
      <c r="G54" s="20">
        <f t="shared" si="3"/>
        <v>7</v>
      </c>
      <c r="H54" s="20">
        <f t="shared" si="4"/>
        <v>17</v>
      </c>
      <c r="I54" s="22">
        <f t="shared" si="5"/>
        <v>2</v>
      </c>
      <c r="J54" s="22">
        <f t="shared" si="6"/>
        <v>0.70870715238218718</v>
      </c>
      <c r="K54" s="22">
        <f t="shared" si="7"/>
        <v>0.98961820421029822</v>
      </c>
      <c r="L54" s="37">
        <f t="shared" si="8"/>
        <v>140.45552591405553</v>
      </c>
    </row>
    <row r="55" spans="1:12" x14ac:dyDescent="0.2">
      <c r="A55" s="37">
        <v>12</v>
      </c>
      <c r="B55" s="37">
        <f t="shared" si="9"/>
        <v>100</v>
      </c>
      <c r="C55" s="37">
        <f t="shared" si="9"/>
        <v>12</v>
      </c>
      <c r="D55" s="20">
        <f t="shared" si="0"/>
        <v>-140</v>
      </c>
      <c r="E55" s="20">
        <f t="shared" si="1"/>
        <v>13.856406460551018</v>
      </c>
      <c r="F55" s="20">
        <f t="shared" si="2"/>
        <v>9.7979589711327115</v>
      </c>
      <c r="G55" s="20">
        <f t="shared" si="3"/>
        <v>7</v>
      </c>
      <c r="H55" s="20">
        <f t="shared" si="4"/>
        <v>17</v>
      </c>
      <c r="I55" s="22">
        <f t="shared" si="5"/>
        <v>2</v>
      </c>
      <c r="J55" s="22">
        <f t="shared" si="6"/>
        <v>0.68767857832378398</v>
      </c>
      <c r="K55" s="22">
        <f t="shared" si="7"/>
        <v>0.9858620305440885</v>
      </c>
      <c r="L55" s="37">
        <f t="shared" si="8"/>
        <v>149.09172611015225</v>
      </c>
    </row>
    <row r="56" spans="1:12" x14ac:dyDescent="0.2">
      <c r="A56" s="37">
        <v>13</v>
      </c>
      <c r="B56" s="37">
        <f t="shared" si="9"/>
        <v>100</v>
      </c>
      <c r="C56" s="37">
        <f t="shared" si="9"/>
        <v>12</v>
      </c>
      <c r="D56" s="20">
        <f t="shared" si="0"/>
        <v>-160</v>
      </c>
      <c r="E56" s="20">
        <f t="shared" si="1"/>
        <v>14.422205101855956</v>
      </c>
      <c r="F56" s="20">
        <f t="shared" si="2"/>
        <v>10.198039027185569</v>
      </c>
      <c r="G56" s="20">
        <f t="shared" si="3"/>
        <v>7</v>
      </c>
      <c r="H56" s="20">
        <f t="shared" si="4"/>
        <v>17</v>
      </c>
      <c r="I56" s="22">
        <f t="shared" si="5"/>
        <v>2</v>
      </c>
      <c r="J56" s="22">
        <f t="shared" si="6"/>
        <v>0.66831493194313762</v>
      </c>
      <c r="K56" s="22">
        <f t="shared" si="7"/>
        <v>0.98160034713880739</v>
      </c>
      <c r="L56" s="37">
        <f t="shared" si="8"/>
        <v>156.64270759783489</v>
      </c>
    </row>
    <row r="57" spans="1:12" x14ac:dyDescent="0.2">
      <c r="A57" s="37">
        <v>14</v>
      </c>
      <c r="B57" s="37">
        <f t="shared" si="9"/>
        <v>100</v>
      </c>
      <c r="C57" s="37">
        <f t="shared" si="9"/>
        <v>12</v>
      </c>
      <c r="D57" s="20">
        <f t="shared" si="0"/>
        <v>-180</v>
      </c>
      <c r="E57" s="20">
        <f t="shared" si="1"/>
        <v>14.966629547095765</v>
      </c>
      <c r="F57" s="20">
        <f t="shared" si="2"/>
        <v>10.583005244258363</v>
      </c>
      <c r="G57" s="20">
        <f t="shared" si="3"/>
        <v>7</v>
      </c>
      <c r="H57" s="20">
        <f t="shared" si="4"/>
        <v>17</v>
      </c>
      <c r="I57" s="22">
        <f t="shared" si="5"/>
        <v>2</v>
      </c>
      <c r="J57" s="22">
        <f t="shared" si="6"/>
        <v>0.65042519387670183</v>
      </c>
      <c r="K57" s="22">
        <f t="shared" si="7"/>
        <v>0.97689660619823582</v>
      </c>
      <c r="L57" s="37">
        <f t="shared" si="8"/>
        <v>163.23570616076699</v>
      </c>
    </row>
    <row r="58" spans="1:12" x14ac:dyDescent="0.2">
      <c r="A58" s="37">
        <v>15</v>
      </c>
      <c r="B58" s="37">
        <f t="shared" si="9"/>
        <v>100</v>
      </c>
      <c r="C58" s="37">
        <f t="shared" si="9"/>
        <v>12</v>
      </c>
      <c r="D58" s="20">
        <f t="shared" si="0"/>
        <v>-200</v>
      </c>
      <c r="E58" s="20">
        <f t="shared" si="1"/>
        <v>15.491933384829668</v>
      </c>
      <c r="F58" s="20">
        <f t="shared" si="2"/>
        <v>10.954451150103322</v>
      </c>
      <c r="G58" s="20">
        <f t="shared" si="3"/>
        <v>7</v>
      </c>
      <c r="H58" s="20">
        <f t="shared" si="4"/>
        <v>17</v>
      </c>
      <c r="I58" s="22">
        <f t="shared" si="5"/>
        <v>2</v>
      </c>
      <c r="J58" s="22">
        <f t="shared" si="6"/>
        <v>0.63384343980593938</v>
      </c>
      <c r="K58" s="22">
        <f t="shared" si="7"/>
        <v>0.97181419785209266</v>
      </c>
      <c r="L58" s="37">
        <f t="shared" si="8"/>
        <v>168.98537902307663</v>
      </c>
    </row>
    <row r="59" spans="1:12" x14ac:dyDescent="0.2">
      <c r="A59" s="37">
        <v>16</v>
      </c>
      <c r="B59" s="37">
        <f t="shared" si="9"/>
        <v>100</v>
      </c>
      <c r="C59" s="37">
        <f t="shared" si="9"/>
        <v>12</v>
      </c>
      <c r="D59" s="20">
        <f t="shared" si="0"/>
        <v>-220</v>
      </c>
      <c r="E59" s="20">
        <f t="shared" si="1"/>
        <v>16</v>
      </c>
      <c r="F59" s="20">
        <f t="shared" si="2"/>
        <v>11.313708498984761</v>
      </c>
      <c r="G59" s="20">
        <f t="shared" si="3"/>
        <v>7</v>
      </c>
      <c r="H59" s="20">
        <f t="shared" si="4"/>
        <v>17</v>
      </c>
      <c r="I59" s="22">
        <f t="shared" si="5"/>
        <v>2</v>
      </c>
      <c r="J59" s="22">
        <f t="shared" si="6"/>
        <v>0.61842609429497875</v>
      </c>
      <c r="K59" s="22">
        <f t="shared" si="7"/>
        <v>0.96641338710310232</v>
      </c>
      <c r="L59" s="37">
        <f t="shared" si="8"/>
        <v>173.99364640406179</v>
      </c>
    </row>
    <row r="60" spans="1:12" x14ac:dyDescent="0.2">
      <c r="A60" s="37">
        <v>17</v>
      </c>
      <c r="B60" s="37">
        <f t="shared" si="9"/>
        <v>100</v>
      </c>
      <c r="C60" s="37">
        <f t="shared" si="9"/>
        <v>12</v>
      </c>
      <c r="D60" s="20">
        <f t="shared" si="0"/>
        <v>-240</v>
      </c>
      <c r="E60" s="20">
        <f t="shared" si="1"/>
        <v>16.492422502470642</v>
      </c>
      <c r="F60" s="20">
        <f t="shared" si="2"/>
        <v>11.661903789690601</v>
      </c>
      <c r="G60" s="20">
        <f t="shared" si="3"/>
        <v>7</v>
      </c>
      <c r="H60" s="20">
        <f t="shared" si="4"/>
        <v>17</v>
      </c>
      <c r="I60" s="22">
        <f t="shared" si="5"/>
        <v>2</v>
      </c>
      <c r="J60" s="22">
        <f t="shared" si="6"/>
        <v>0.60404897491065779</v>
      </c>
      <c r="K60" s="22">
        <f t="shared" si="7"/>
        <v>0.96074966953230712</v>
      </c>
      <c r="L60" s="37">
        <f t="shared" si="8"/>
        <v>178.35034731082467</v>
      </c>
    </row>
    <row r="61" spans="1:12" x14ac:dyDescent="0.2">
      <c r="A61" s="37">
        <v>18</v>
      </c>
      <c r="B61" s="37">
        <f t="shared" si="9"/>
        <v>100</v>
      </c>
      <c r="C61" s="37">
        <f t="shared" si="9"/>
        <v>12</v>
      </c>
      <c r="D61" s="20">
        <f t="shared" si="0"/>
        <v>-260</v>
      </c>
      <c r="E61" s="20">
        <f t="shared" si="1"/>
        <v>16.970562748477139</v>
      </c>
      <c r="F61" s="20">
        <f t="shared" si="2"/>
        <v>12</v>
      </c>
      <c r="G61" s="20">
        <f t="shared" si="3"/>
        <v>7</v>
      </c>
      <c r="H61" s="20">
        <f t="shared" si="4"/>
        <v>17</v>
      </c>
      <c r="I61" s="22">
        <f t="shared" si="5"/>
        <v>2</v>
      </c>
      <c r="J61" s="22">
        <f t="shared" si="6"/>
        <v>0.59060451379008128</v>
      </c>
      <c r="K61" s="22">
        <f t="shared" si="7"/>
        <v>0.95487305111132392</v>
      </c>
      <c r="L61" s="37">
        <f t="shared" si="8"/>
        <v>182.13426866062133</v>
      </c>
    </row>
    <row r="62" spans="1:12" x14ac:dyDescent="0.2">
      <c r="A62" s="37">
        <v>19</v>
      </c>
      <c r="B62" s="37">
        <f t="shared" si="9"/>
        <v>100</v>
      </c>
      <c r="C62" s="37">
        <f t="shared" si="9"/>
        <v>12</v>
      </c>
      <c r="D62" s="20">
        <f t="shared" si="0"/>
        <v>-280</v>
      </c>
      <c r="E62" s="20">
        <f t="shared" si="1"/>
        <v>17.435595774162696</v>
      </c>
      <c r="F62" s="20">
        <f t="shared" si="2"/>
        <v>12.328828005937952</v>
      </c>
      <c r="G62" s="20">
        <f t="shared" si="3"/>
        <v>7</v>
      </c>
      <c r="H62" s="20">
        <f t="shared" si="4"/>
        <v>17</v>
      </c>
      <c r="I62" s="22">
        <f t="shared" si="5"/>
        <v>2</v>
      </c>
      <c r="J62" s="22">
        <f t="shared" si="6"/>
        <v>0.57799929496240776</v>
      </c>
      <c r="K62" s="22">
        <f t="shared" si="7"/>
        <v>0.94882790202489065</v>
      </c>
      <c r="L62" s="37">
        <f t="shared" si="8"/>
        <v>185.41430353124144</v>
      </c>
    </row>
    <row r="63" spans="1:12" x14ac:dyDescent="0.2">
      <c r="A63" s="37">
        <v>20</v>
      </c>
      <c r="B63" s="37">
        <f t="shared" si="9"/>
        <v>100</v>
      </c>
      <c r="C63" s="37">
        <f t="shared" si="9"/>
        <v>12</v>
      </c>
      <c r="D63" s="20">
        <f t="shared" si="0"/>
        <v>-300</v>
      </c>
      <c r="E63" s="20">
        <f t="shared" si="1"/>
        <v>17.888543819998318</v>
      </c>
      <c r="F63" s="20">
        <f t="shared" si="2"/>
        <v>12.649110640673518</v>
      </c>
      <c r="G63" s="20">
        <f t="shared" si="3"/>
        <v>7</v>
      </c>
      <c r="H63" s="20">
        <f t="shared" si="4"/>
        <v>17</v>
      </c>
      <c r="I63" s="22">
        <f t="shared" si="5"/>
        <v>2</v>
      </c>
      <c r="J63" s="22">
        <f t="shared" si="6"/>
        <v>0.56615193423356081</v>
      </c>
      <c r="K63" s="22">
        <f t="shared" si="7"/>
        <v>0.94265314809863354</v>
      </c>
      <c r="L63" s="37">
        <f t="shared" si="8"/>
        <v>188.25060693253636</v>
      </c>
    </row>
    <row r="64" spans="1:12" x14ac:dyDescent="0.2">
      <c r="A64" s="37">
        <v>21</v>
      </c>
      <c r="B64" s="37">
        <f t="shared" si="9"/>
        <v>100</v>
      </c>
      <c r="C64" s="37">
        <f t="shared" si="9"/>
        <v>12</v>
      </c>
      <c r="D64" s="20">
        <f t="shared" si="0"/>
        <v>-320</v>
      </c>
      <c r="E64" s="20">
        <f t="shared" si="1"/>
        <v>18.330302779823359</v>
      </c>
      <c r="F64" s="20">
        <f t="shared" si="2"/>
        <v>12.961481396815721</v>
      </c>
      <c r="G64" s="20">
        <f t="shared" si="3"/>
        <v>7</v>
      </c>
      <c r="H64" s="20">
        <f t="shared" si="4"/>
        <v>17</v>
      </c>
      <c r="I64" s="22">
        <f t="shared" si="5"/>
        <v>2</v>
      </c>
      <c r="J64" s="22">
        <f t="shared" si="6"/>
        <v>0.5549912812532638</v>
      </c>
      <c r="K64" s="22">
        <f t="shared" si="7"/>
        <v>0.93638264555783612</v>
      </c>
      <c r="L64" s="37">
        <f t="shared" si="8"/>
        <v>190.69568215228617</v>
      </c>
    </row>
    <row r="65" spans="1:12" x14ac:dyDescent="0.2">
      <c r="A65" s="37">
        <v>22</v>
      </c>
      <c r="B65" s="37">
        <f t="shared" si="9"/>
        <v>100</v>
      </c>
      <c r="C65" s="37">
        <f t="shared" si="9"/>
        <v>12</v>
      </c>
      <c r="D65" s="20">
        <f t="shared" si="0"/>
        <v>-340</v>
      </c>
      <c r="E65" s="20">
        <f t="shared" si="1"/>
        <v>18.761663039293719</v>
      </c>
      <c r="F65" s="20">
        <f t="shared" si="2"/>
        <v>13.266499161421599</v>
      </c>
      <c r="G65" s="20">
        <f t="shared" si="3"/>
        <v>7</v>
      </c>
      <c r="H65" s="20">
        <f t="shared" si="4"/>
        <v>17</v>
      </c>
      <c r="I65" s="22">
        <f t="shared" si="5"/>
        <v>2</v>
      </c>
      <c r="J65" s="22">
        <f t="shared" si="6"/>
        <v>0.54445490621067005</v>
      </c>
      <c r="K65" s="22">
        <f t="shared" si="7"/>
        <v>0.93004564141998969</v>
      </c>
      <c r="L65" s="37">
        <f t="shared" si="8"/>
        <v>192.79536760465982</v>
      </c>
    </row>
    <row r="66" spans="1:12" x14ac:dyDescent="0.2">
      <c r="A66" s="37">
        <v>23</v>
      </c>
      <c r="B66" s="37">
        <f t="shared" si="9"/>
        <v>100</v>
      </c>
      <c r="C66" s="37">
        <f t="shared" si="9"/>
        <v>12</v>
      </c>
      <c r="D66" s="20">
        <f t="shared" si="0"/>
        <v>-360</v>
      </c>
      <c r="E66" s="20">
        <f t="shared" si="1"/>
        <v>19.183326093250876</v>
      </c>
      <c r="F66" s="20">
        <f t="shared" si="2"/>
        <v>13.564659966250536</v>
      </c>
      <c r="G66" s="20">
        <f t="shared" si="3"/>
        <v>7</v>
      </c>
      <c r="H66" s="20">
        <f t="shared" si="4"/>
        <v>17</v>
      </c>
      <c r="I66" s="22">
        <f t="shared" si="5"/>
        <v>2</v>
      </c>
      <c r="J66" s="22">
        <f t="shared" si="6"/>
        <v>0.53448783012581336</v>
      </c>
      <c r="K66" s="22">
        <f t="shared" si="7"/>
        <v>0.92366725962364282</v>
      </c>
      <c r="L66" s="37">
        <f t="shared" si="8"/>
        <v>194.58971474891473</v>
      </c>
    </row>
    <row r="67" spans="1:12" x14ac:dyDescent="0.2">
      <c r="A67" s="37">
        <v>24</v>
      </c>
      <c r="B67" s="37">
        <f t="shared" si="9"/>
        <v>100</v>
      </c>
      <c r="C67" s="37">
        <f t="shared" si="9"/>
        <v>12</v>
      </c>
      <c r="D67" s="20">
        <f t="shared" si="0"/>
        <v>-380</v>
      </c>
      <c r="E67" s="20">
        <f t="shared" si="1"/>
        <v>19.595917942265423</v>
      </c>
      <c r="F67" s="20">
        <f t="shared" si="2"/>
        <v>13.856406460551018</v>
      </c>
      <c r="G67" s="20">
        <f t="shared" si="3"/>
        <v>7</v>
      </c>
      <c r="H67" s="20">
        <f t="shared" si="4"/>
        <v>17</v>
      </c>
      <c r="I67" s="22">
        <f t="shared" si="5"/>
        <v>2</v>
      </c>
      <c r="J67" s="22">
        <f t="shared" si="6"/>
        <v>0.52504146011049313</v>
      </c>
      <c r="K67" s="22">
        <f t="shared" si="7"/>
        <v>0.91726897768489757</v>
      </c>
      <c r="L67" s="37">
        <f t="shared" si="8"/>
        <v>196.11375878720222</v>
      </c>
    </row>
    <row r="68" spans="1:12" x14ac:dyDescent="0.2">
      <c r="A68" s="37">
        <v>25</v>
      </c>
      <c r="B68" s="37">
        <f t="shared" si="9"/>
        <v>100</v>
      </c>
      <c r="C68" s="37">
        <f t="shared" si="9"/>
        <v>12</v>
      </c>
      <c r="D68" s="20">
        <f t="shared" si="0"/>
        <v>-400</v>
      </c>
      <c r="E68" s="20">
        <f t="shared" si="1"/>
        <v>20</v>
      </c>
      <c r="F68" s="20">
        <f t="shared" si="2"/>
        <v>14.142135623730951</v>
      </c>
      <c r="G68" s="20">
        <f t="shared" si="3"/>
        <v>7</v>
      </c>
      <c r="H68" s="20">
        <f t="shared" si="4"/>
        <v>17</v>
      </c>
      <c r="I68" s="22">
        <f t="shared" si="5"/>
        <v>2</v>
      </c>
      <c r="J68" s="22">
        <f t="shared" si="6"/>
        <v>0.51607269555385393</v>
      </c>
      <c r="K68" s="22">
        <f t="shared" si="7"/>
        <v>0.91086907448291388</v>
      </c>
      <c r="L68" s="37">
        <f t="shared" si="8"/>
        <v>197.39818946452996</v>
      </c>
    </row>
    <row r="69" spans="1:12" x14ac:dyDescent="0.2">
      <c r="A69" s="37">
        <v>26</v>
      </c>
      <c r="B69" s="37">
        <f t="shared" si="9"/>
        <v>100</v>
      </c>
      <c r="C69" s="37">
        <f t="shared" si="9"/>
        <v>12</v>
      </c>
      <c r="D69" s="20">
        <f t="shared" si="0"/>
        <v>-420</v>
      </c>
      <c r="E69" s="20">
        <f t="shared" si="1"/>
        <v>20.396078054371138</v>
      </c>
      <c r="F69" s="20">
        <f t="shared" si="2"/>
        <v>14.422205101855956</v>
      </c>
      <c r="G69" s="20">
        <f t="shared" si="3"/>
        <v>7</v>
      </c>
      <c r="H69" s="20">
        <f t="shared" si="4"/>
        <v>17</v>
      </c>
      <c r="I69" s="22">
        <f t="shared" si="5"/>
        <v>2</v>
      </c>
      <c r="J69" s="22">
        <f t="shared" si="6"/>
        <v>0.50754317622711975</v>
      </c>
      <c r="K69" s="22">
        <f t="shared" si="7"/>
        <v>0.90448303969405586</v>
      </c>
      <c r="L69" s="37">
        <f t="shared" si="8"/>
        <v>198.46993173346806</v>
      </c>
    </row>
    <row r="70" spans="1:12" x14ac:dyDescent="0.2">
      <c r="A70" s="37">
        <v>27</v>
      </c>
      <c r="B70" s="37">
        <f t="shared" si="9"/>
        <v>100</v>
      </c>
      <c r="C70" s="37">
        <f t="shared" si="9"/>
        <v>12</v>
      </c>
      <c r="D70" s="20">
        <f t="shared" si="0"/>
        <v>-440</v>
      </c>
      <c r="E70" s="20">
        <f t="shared" si="1"/>
        <v>20.784609690826528</v>
      </c>
      <c r="F70" s="20">
        <f t="shared" si="2"/>
        <v>14.696938456699069</v>
      </c>
      <c r="G70" s="20">
        <f t="shared" si="3"/>
        <v>7</v>
      </c>
      <c r="H70" s="20">
        <f t="shared" si="4"/>
        <v>17</v>
      </c>
      <c r="I70" s="22">
        <f t="shared" si="5"/>
        <v>2</v>
      </c>
      <c r="J70" s="22">
        <f t="shared" si="6"/>
        <v>0.49941864805096786</v>
      </c>
      <c r="K70" s="22">
        <f t="shared" si="7"/>
        <v>0.89812394146209917</v>
      </c>
      <c r="L70" s="37">
        <f t="shared" si="8"/>
        <v>199.35264670556566</v>
      </c>
    </row>
    <row r="71" spans="1:12" x14ac:dyDescent="0.2">
      <c r="A71" s="37">
        <v>28</v>
      </c>
      <c r="B71" s="37">
        <f t="shared" si="9"/>
        <v>100</v>
      </c>
      <c r="C71" s="37">
        <f t="shared" si="9"/>
        <v>12</v>
      </c>
      <c r="D71" s="20">
        <f t="shared" si="0"/>
        <v>-460</v>
      </c>
      <c r="E71" s="20">
        <f t="shared" si="1"/>
        <v>21.166010488516726</v>
      </c>
      <c r="F71" s="20">
        <f t="shared" si="2"/>
        <v>14.966629547095765</v>
      </c>
      <c r="G71" s="20">
        <f t="shared" si="3"/>
        <v>7</v>
      </c>
      <c r="H71" s="20">
        <f t="shared" si="4"/>
        <v>17</v>
      </c>
      <c r="I71" s="22">
        <f t="shared" si="5"/>
        <v>2</v>
      </c>
      <c r="J71" s="22">
        <f t="shared" si="6"/>
        <v>0.49166842644785463</v>
      </c>
      <c r="K71" s="22">
        <f t="shared" si="7"/>
        <v>0.89180275247629848</v>
      </c>
      <c r="L71" s="37">
        <f t="shared" si="8"/>
        <v>200.06716301422193</v>
      </c>
    </row>
    <row r="72" spans="1:12" x14ac:dyDescent="0.2">
      <c r="A72" s="37">
        <v>29</v>
      </c>
      <c r="B72" s="37">
        <f t="shared" si="9"/>
        <v>100</v>
      </c>
      <c r="C72" s="37">
        <f t="shared" si="9"/>
        <v>12</v>
      </c>
      <c r="D72" s="20">
        <f t="shared" si="0"/>
        <v>-480</v>
      </c>
      <c r="E72" s="20">
        <f t="shared" si="1"/>
        <v>21.540659228538015</v>
      </c>
      <c r="F72" s="20">
        <f t="shared" si="2"/>
        <v>15.231546211727817</v>
      </c>
      <c r="G72" s="20">
        <f t="shared" si="3"/>
        <v>7</v>
      </c>
      <c r="H72" s="20">
        <f t="shared" si="4"/>
        <v>17</v>
      </c>
      <c r="I72" s="22">
        <f t="shared" si="5"/>
        <v>2</v>
      </c>
      <c r="J72" s="22">
        <f t="shared" si="6"/>
        <v>0.48426494074936438</v>
      </c>
      <c r="K72" s="22">
        <f t="shared" si="7"/>
        <v>0.88552863663320958</v>
      </c>
      <c r="L72" s="37">
        <f t="shared" si="8"/>
        <v>200.63184794192259</v>
      </c>
    </row>
    <row r="73" spans="1:12" x14ac:dyDescent="0.2">
      <c r="A73" s="37">
        <v>30</v>
      </c>
      <c r="B73" s="37">
        <f t="shared" si="9"/>
        <v>100</v>
      </c>
      <c r="C73" s="37">
        <f t="shared" si="9"/>
        <v>12</v>
      </c>
      <c r="D73" s="20">
        <f t="shared" si="0"/>
        <v>-500</v>
      </c>
      <c r="E73" s="20">
        <f t="shared" si="1"/>
        <v>21.908902300206645</v>
      </c>
      <c r="F73" s="20">
        <f t="shared" si="2"/>
        <v>15.491933384829668</v>
      </c>
      <c r="G73" s="20">
        <f t="shared" si="3"/>
        <v>7</v>
      </c>
      <c r="H73" s="20">
        <f t="shared" si="4"/>
        <v>17</v>
      </c>
      <c r="I73" s="22">
        <f t="shared" si="5"/>
        <v>2</v>
      </c>
      <c r="J73" s="22">
        <f t="shared" si="6"/>
        <v>0.4771833460809114</v>
      </c>
      <c r="K73" s="22">
        <f t="shared" si="7"/>
        <v>0.87930919947255448</v>
      </c>
      <c r="L73" s="37">
        <f t="shared" si="8"/>
        <v>201.06292669582155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7"/>
  <dimension ref="A1:L103"/>
  <sheetViews>
    <sheetView workbookViewId="0"/>
  </sheetViews>
  <sheetFormatPr baseColWidth="10" defaultRowHeight="16" x14ac:dyDescent="0.2"/>
  <cols>
    <col min="1" max="1" width="22.33203125" customWidth="1"/>
    <col min="2" max="2" width="12.33203125" bestFit="1" customWidth="1"/>
    <col min="3" max="3" width="12.1640625" bestFit="1" customWidth="1"/>
    <col min="4" max="4" width="12.33203125" bestFit="1" customWidth="1"/>
    <col min="5" max="8" width="12.1640625" bestFit="1" customWidth="1"/>
    <col min="9" max="9" width="10.6640625" customWidth="1"/>
    <col min="10" max="12" width="12.1640625" bestFit="1" customWidth="1"/>
  </cols>
  <sheetData>
    <row r="1" spans="1:9" x14ac:dyDescent="0.2">
      <c r="A1" s="3" t="s">
        <v>32</v>
      </c>
      <c r="B1" s="3" t="s">
        <v>266</v>
      </c>
      <c r="C1" s="3"/>
      <c r="E1" s="34"/>
      <c r="F1" s="34"/>
      <c r="G1" s="34"/>
      <c r="H1" s="34"/>
      <c r="I1" s="34"/>
    </row>
    <row r="2" spans="1:9" x14ac:dyDescent="0.2">
      <c r="A2" s="3" t="s">
        <v>191</v>
      </c>
      <c r="B2" s="3" t="s">
        <v>208</v>
      </c>
      <c r="C2" s="3"/>
      <c r="E2" s="34"/>
      <c r="F2" s="34"/>
      <c r="G2" s="34"/>
      <c r="H2" s="34"/>
      <c r="I2" s="34"/>
    </row>
    <row r="3" spans="1:9" x14ac:dyDescent="0.2">
      <c r="A3" s="3" t="s">
        <v>273</v>
      </c>
      <c r="B3" s="3">
        <v>2</v>
      </c>
      <c r="C3" s="3"/>
      <c r="E3" s="34"/>
      <c r="F3" s="34"/>
      <c r="G3" s="34"/>
      <c r="H3" s="34"/>
      <c r="I3" s="34"/>
    </row>
    <row r="4" spans="1:9" x14ac:dyDescent="0.2">
      <c r="A4" s="3" t="s">
        <v>274</v>
      </c>
      <c r="B4" s="3" t="s">
        <v>19</v>
      </c>
      <c r="C4" s="3"/>
      <c r="E4" s="34"/>
      <c r="F4" s="34"/>
      <c r="G4" s="34"/>
      <c r="H4" s="34"/>
      <c r="I4" s="34"/>
    </row>
    <row r="5" spans="1:9" x14ac:dyDescent="0.2">
      <c r="A5" s="3" t="s">
        <v>275</v>
      </c>
      <c r="B5" s="3" t="s">
        <v>19</v>
      </c>
      <c r="C5" s="3"/>
      <c r="E5" s="34"/>
      <c r="F5" s="34"/>
      <c r="G5" s="34"/>
      <c r="H5" s="34"/>
      <c r="I5" s="34"/>
    </row>
    <row r="6" spans="1:9" x14ac:dyDescent="0.2">
      <c r="A6" s="3" t="s">
        <v>276</v>
      </c>
      <c r="B6" s="3" t="s">
        <v>231</v>
      </c>
      <c r="C6" s="3"/>
      <c r="E6" s="34"/>
      <c r="F6" s="34"/>
      <c r="G6" s="34"/>
      <c r="H6" s="34"/>
      <c r="I6" s="34"/>
    </row>
    <row r="7" spans="1:9" x14ac:dyDescent="0.2">
      <c r="A7" s="3" t="s">
        <v>277</v>
      </c>
      <c r="B7" s="3" t="s">
        <v>269</v>
      </c>
      <c r="C7" s="3"/>
      <c r="E7" s="34"/>
      <c r="F7" s="34"/>
      <c r="G7" s="34"/>
      <c r="H7" s="34"/>
      <c r="I7" s="34"/>
    </row>
    <row r="8" spans="1:9" x14ac:dyDescent="0.2">
      <c r="A8" s="3" t="s">
        <v>278</v>
      </c>
      <c r="B8" s="3" t="s">
        <v>26</v>
      </c>
      <c r="C8" s="3"/>
      <c r="E8" s="34"/>
      <c r="F8" s="34"/>
      <c r="G8" s="34"/>
      <c r="H8" s="34"/>
      <c r="I8" s="34"/>
    </row>
    <row r="9" spans="1:9" x14ac:dyDescent="0.2">
      <c r="A9" s="3" t="s">
        <v>279</v>
      </c>
      <c r="B9" s="3" t="s">
        <v>26</v>
      </c>
      <c r="C9" s="3"/>
      <c r="E9" s="34"/>
      <c r="F9" s="34"/>
      <c r="G9" s="34"/>
      <c r="H9" s="34"/>
      <c r="I9" s="34"/>
    </row>
    <row r="10" spans="1:9" x14ac:dyDescent="0.2">
      <c r="A10" s="3" t="s">
        <v>128</v>
      </c>
      <c r="B10" s="3" t="s">
        <v>271</v>
      </c>
      <c r="C10" s="3"/>
      <c r="E10" s="34"/>
      <c r="F10" s="34"/>
      <c r="G10" s="34"/>
      <c r="H10" s="34"/>
      <c r="I10" s="34"/>
    </row>
    <row r="11" spans="1:9" x14ac:dyDescent="0.2">
      <c r="B11" s="3" t="s">
        <v>272</v>
      </c>
      <c r="E11" s="34"/>
      <c r="F11" s="34"/>
      <c r="G11" s="34"/>
      <c r="H11" s="34"/>
      <c r="I11" s="34"/>
    </row>
    <row r="12" spans="1:9" x14ac:dyDescent="0.2">
      <c r="B12" s="3" t="s">
        <v>129</v>
      </c>
      <c r="E12" s="34"/>
      <c r="F12" s="34"/>
      <c r="G12" s="34"/>
      <c r="H12" s="34"/>
      <c r="I12" s="34"/>
    </row>
    <row r="13" spans="1:9" x14ac:dyDescent="0.2">
      <c r="A13" s="3" t="s">
        <v>30</v>
      </c>
      <c r="B13" s="3"/>
      <c r="C13" s="3"/>
      <c r="E13" s="34"/>
      <c r="F13" s="34"/>
      <c r="G13" s="34"/>
      <c r="H13" s="34"/>
      <c r="I13" s="34"/>
    </row>
    <row r="14" spans="1:9" x14ac:dyDescent="0.2">
      <c r="A14" s="3" t="s">
        <v>85</v>
      </c>
      <c r="B14" s="3" t="s">
        <v>86</v>
      </c>
      <c r="C14" s="3"/>
      <c r="E14" s="34"/>
      <c r="F14" s="34"/>
      <c r="G14" s="34"/>
      <c r="H14" s="34"/>
      <c r="I14" s="34"/>
    </row>
    <row r="15" spans="1:9" x14ac:dyDescent="0.2">
      <c r="B15" s="3" t="s">
        <v>230</v>
      </c>
      <c r="C15" s="3"/>
      <c r="E15" s="34"/>
      <c r="F15" s="34"/>
      <c r="G15" s="34"/>
      <c r="H15" s="34"/>
      <c r="I15" s="34"/>
    </row>
    <row r="16" spans="1:9" x14ac:dyDescent="0.2">
      <c r="A16" s="3" t="s">
        <v>87</v>
      </c>
      <c r="B16" s="3" t="s">
        <v>232</v>
      </c>
      <c r="C16" s="3"/>
      <c r="E16" s="34"/>
      <c r="F16" s="34"/>
      <c r="G16" s="34"/>
      <c r="H16" s="34"/>
      <c r="I16" s="34"/>
    </row>
    <row r="17" spans="1:12" x14ac:dyDescent="0.2">
      <c r="A17" s="3"/>
      <c r="B17" s="3" t="s">
        <v>270</v>
      </c>
      <c r="C17" s="3"/>
      <c r="E17" s="34"/>
      <c r="F17" s="34"/>
      <c r="G17" s="34"/>
      <c r="H17" s="34"/>
      <c r="I17" s="34"/>
      <c r="J17" s="20"/>
      <c r="K17" s="34"/>
      <c r="L17" s="34"/>
    </row>
    <row r="18" spans="1:12" x14ac:dyDescent="0.2">
      <c r="E18" s="34"/>
      <c r="F18" s="34"/>
      <c r="G18" s="34"/>
      <c r="H18" s="34"/>
      <c r="I18" s="34"/>
      <c r="J18" s="20"/>
      <c r="K18" s="34"/>
      <c r="L18" s="34"/>
    </row>
    <row r="19" spans="1:12" x14ac:dyDescent="0.2">
      <c r="A19" s="3" t="s">
        <v>93</v>
      </c>
      <c r="B19" s="3" t="s">
        <v>221</v>
      </c>
      <c r="D19" s="3" t="s">
        <v>160</v>
      </c>
      <c r="E19" s="34"/>
      <c r="F19" s="34"/>
      <c r="G19" s="34"/>
      <c r="H19" s="34"/>
      <c r="I19" s="34"/>
      <c r="J19" s="20"/>
      <c r="K19" s="34"/>
      <c r="L19" s="34"/>
    </row>
    <row r="20" spans="1:12" x14ac:dyDescent="0.2">
      <c r="A20" s="34"/>
      <c r="B20" s="34"/>
      <c r="C20" s="34"/>
      <c r="D20" s="34"/>
      <c r="E20" s="34"/>
      <c r="F20" s="34"/>
      <c r="G20" s="34"/>
      <c r="H20" s="34"/>
      <c r="I20" s="34"/>
      <c r="J20" s="20"/>
      <c r="K20" s="34"/>
      <c r="L20" s="34"/>
    </row>
    <row r="21" spans="1:12" x14ac:dyDescent="0.2">
      <c r="A21" s="3" t="s">
        <v>33</v>
      </c>
      <c r="B21" s="3"/>
      <c r="C21" s="3"/>
      <c r="D21" s="3"/>
      <c r="E21" s="34"/>
      <c r="F21" s="34"/>
      <c r="G21" s="34"/>
      <c r="H21" s="34"/>
      <c r="I21" s="34"/>
      <c r="J21" s="20"/>
      <c r="K21" s="34"/>
      <c r="L21" s="34"/>
    </row>
    <row r="22" spans="1:12" x14ac:dyDescent="0.2">
      <c r="A22" s="3"/>
      <c r="B22" s="3" t="s">
        <v>233</v>
      </c>
      <c r="C22" s="3"/>
      <c r="D22" s="3"/>
      <c r="E22" s="34"/>
      <c r="F22" s="34"/>
      <c r="G22" s="34"/>
      <c r="K22" s="34"/>
      <c r="L22" s="34"/>
    </row>
    <row r="23" spans="1:12" x14ac:dyDescent="0.2">
      <c r="A23" s="3" t="s">
        <v>34</v>
      </c>
      <c r="B23" s="3">
        <v>100000</v>
      </c>
      <c r="C23" s="3" t="s">
        <v>234</v>
      </c>
      <c r="D23" s="3"/>
      <c r="K23" s="34"/>
      <c r="L23" s="34"/>
    </row>
    <row r="24" spans="1:12" x14ac:dyDescent="0.2">
      <c r="A24" s="3" t="s">
        <v>262</v>
      </c>
      <c r="B24" s="3">
        <f>B23/(100^3)</f>
        <v>0.1</v>
      </c>
      <c r="C24" s="3" t="s">
        <v>235</v>
      </c>
      <c r="D24" s="3"/>
      <c r="E24" s="34"/>
      <c r="F24" s="34"/>
      <c r="K24" s="34"/>
      <c r="L24" s="34"/>
    </row>
    <row r="25" spans="1:12" x14ac:dyDescent="0.2">
      <c r="A25" s="3" t="s">
        <v>166</v>
      </c>
      <c r="B25" s="3">
        <v>10</v>
      </c>
      <c r="C25" s="3" t="s">
        <v>238</v>
      </c>
      <c r="D25" s="3"/>
      <c r="K25" s="34"/>
      <c r="L25" s="34"/>
    </row>
    <row r="26" spans="1:12" x14ac:dyDescent="0.2">
      <c r="A26" s="3" t="s">
        <v>263</v>
      </c>
      <c r="B26" s="3">
        <f>B25*(3.25^3)/(7.48)/(1440)</f>
        <v>3.1870288361556739E-2</v>
      </c>
      <c r="C26" s="3" t="s">
        <v>239</v>
      </c>
      <c r="D26" s="3"/>
      <c r="E26" s="34"/>
      <c r="F26" s="34"/>
      <c r="K26" s="34"/>
      <c r="L26" s="34"/>
    </row>
    <row r="27" spans="1:12" x14ac:dyDescent="0.2">
      <c r="A27" s="3" t="s">
        <v>240</v>
      </c>
      <c r="B27" s="3">
        <v>1</v>
      </c>
      <c r="C27" s="3" t="s">
        <v>241</v>
      </c>
      <c r="D27" s="3"/>
      <c r="E27" s="34"/>
      <c r="F27" s="34"/>
      <c r="G27" s="34"/>
      <c r="K27" s="34"/>
      <c r="L27" s="34"/>
    </row>
    <row r="28" spans="1:12" x14ac:dyDescent="0.2">
      <c r="A28" s="3" t="s">
        <v>39</v>
      </c>
      <c r="B28" s="3">
        <v>0.3</v>
      </c>
      <c r="C28" s="3" t="s">
        <v>40</v>
      </c>
      <c r="D28" s="3"/>
      <c r="E28" s="34"/>
      <c r="F28" s="34"/>
      <c r="G28" s="34"/>
      <c r="K28" s="34"/>
      <c r="L28" s="34"/>
    </row>
    <row r="29" spans="1:12" x14ac:dyDescent="0.2">
      <c r="A29" s="3" t="s">
        <v>36</v>
      </c>
      <c r="B29" s="3">
        <v>0.3</v>
      </c>
      <c r="C29" s="3" t="s">
        <v>244</v>
      </c>
      <c r="D29" s="3"/>
      <c r="E29" s="34"/>
      <c r="F29" s="34"/>
      <c r="G29" s="34"/>
      <c r="K29" s="34"/>
      <c r="L29" s="34"/>
    </row>
    <row r="30" spans="1:12" ht="18" x14ac:dyDescent="0.25">
      <c r="A30" s="41" t="s">
        <v>264</v>
      </c>
      <c r="B30" s="3">
        <v>1</v>
      </c>
      <c r="C30" s="3" t="s">
        <v>246</v>
      </c>
      <c r="D30" s="3"/>
      <c r="E30" s="34"/>
      <c r="F30" s="34"/>
      <c r="G30" s="34"/>
      <c r="K30" s="34"/>
      <c r="L30" s="34"/>
    </row>
    <row r="31" spans="1:12" ht="18" x14ac:dyDescent="0.25">
      <c r="A31" s="41" t="s">
        <v>265</v>
      </c>
      <c r="B31" s="3">
        <v>0.1</v>
      </c>
      <c r="C31" s="3" t="s">
        <v>248</v>
      </c>
      <c r="D31" s="3"/>
      <c r="E31" s="34"/>
      <c r="F31" s="34"/>
      <c r="G31" s="34"/>
      <c r="K31" s="34"/>
      <c r="L31" s="34"/>
    </row>
    <row r="32" spans="1:12" x14ac:dyDescent="0.2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</row>
    <row r="33" spans="1:12" x14ac:dyDescent="0.2">
      <c r="A33" s="3" t="s">
        <v>103</v>
      </c>
      <c r="B33" s="3"/>
      <c r="C33" s="3"/>
      <c r="D33" s="34"/>
      <c r="E33" s="34"/>
      <c r="F33" s="34"/>
      <c r="G33" s="34"/>
      <c r="H33" s="34"/>
      <c r="I33" s="34"/>
      <c r="J33" s="34"/>
      <c r="K33" s="34"/>
      <c r="L33" s="34"/>
    </row>
    <row r="34" spans="1:12" x14ac:dyDescent="0.2">
      <c r="A34" s="3" t="s">
        <v>236</v>
      </c>
      <c r="B34" s="3">
        <f>B23*B25</f>
        <v>1000000</v>
      </c>
      <c r="C34" s="3" t="s">
        <v>237</v>
      </c>
      <c r="D34" s="34"/>
      <c r="E34" s="34"/>
      <c r="F34" s="34"/>
      <c r="G34" s="34"/>
      <c r="H34" s="34"/>
      <c r="I34" s="34"/>
      <c r="J34" s="34"/>
      <c r="K34" s="34"/>
      <c r="L34" s="34"/>
    </row>
    <row r="35" spans="1:12" x14ac:dyDescent="0.2">
      <c r="A35" s="3" t="s">
        <v>216</v>
      </c>
      <c r="B35" s="3">
        <f>2*B36/B40</f>
        <v>2</v>
      </c>
      <c r="C35" s="3"/>
      <c r="D35" s="34"/>
      <c r="E35" s="34"/>
      <c r="F35" s="34"/>
      <c r="G35" s="34"/>
      <c r="H35" s="34"/>
      <c r="I35" s="34"/>
      <c r="J35" s="34"/>
      <c r="K35" s="34"/>
      <c r="L35" s="34"/>
    </row>
    <row r="36" spans="1:12" x14ac:dyDescent="0.2">
      <c r="A36" s="3" t="s">
        <v>242</v>
      </c>
      <c r="B36" s="3">
        <f>B30*B40</f>
        <v>1</v>
      </c>
      <c r="C36" s="3"/>
      <c r="D36" s="34"/>
      <c r="E36" s="34"/>
      <c r="F36" s="34"/>
      <c r="G36" s="34"/>
      <c r="H36" s="34"/>
      <c r="I36" s="34"/>
      <c r="J36" s="34"/>
      <c r="K36" s="34"/>
      <c r="L36" s="34"/>
    </row>
    <row r="37" spans="1:12" x14ac:dyDescent="0.2">
      <c r="A37" s="3" t="s">
        <v>243</v>
      </c>
      <c r="B37" s="3">
        <f>B31*B40</f>
        <v>0.1</v>
      </c>
      <c r="C37" s="3"/>
      <c r="D37" s="34"/>
      <c r="E37" s="34"/>
      <c r="F37" s="34"/>
      <c r="G37" s="34"/>
      <c r="H37" s="34"/>
      <c r="I37" s="34"/>
      <c r="J37" s="34"/>
      <c r="K37" s="34"/>
      <c r="L37" s="34"/>
    </row>
    <row r="38" spans="1:12" x14ac:dyDescent="0.2">
      <c r="A38" s="3" t="s">
        <v>245</v>
      </c>
      <c r="B38" s="3">
        <f>B36/B37</f>
        <v>10</v>
      </c>
      <c r="C38" s="3"/>
      <c r="D38" s="34"/>
      <c r="E38" s="34"/>
      <c r="F38" s="34"/>
      <c r="G38" s="34"/>
      <c r="H38" s="34"/>
      <c r="I38" s="34"/>
      <c r="J38" s="34"/>
      <c r="K38" s="34"/>
      <c r="L38" s="34"/>
    </row>
    <row r="39" spans="1:12" x14ac:dyDescent="0.2">
      <c r="A39" s="3" t="s">
        <v>247</v>
      </c>
      <c r="B39" s="3">
        <f>B36*B37</f>
        <v>0.1</v>
      </c>
      <c r="C39" s="3"/>
      <c r="D39" s="34"/>
      <c r="E39" s="34"/>
      <c r="F39" s="34"/>
      <c r="G39" s="34"/>
      <c r="H39" s="34"/>
      <c r="I39" s="34"/>
      <c r="J39" s="34"/>
      <c r="K39" s="34"/>
      <c r="L39" s="34"/>
    </row>
    <row r="40" spans="1:12" x14ac:dyDescent="0.2">
      <c r="A40" s="3" t="s">
        <v>158</v>
      </c>
      <c r="B40" s="3">
        <f>B29/B28</f>
        <v>1</v>
      </c>
      <c r="C40" s="3" t="s">
        <v>249</v>
      </c>
      <c r="D40" s="34"/>
      <c r="E40" s="34"/>
      <c r="F40" s="34"/>
      <c r="G40" s="34"/>
      <c r="H40" s="34"/>
      <c r="I40" s="34"/>
      <c r="J40" s="34"/>
      <c r="K40" s="34"/>
      <c r="L40" s="34"/>
    </row>
    <row r="41" spans="1:12" x14ac:dyDescent="0.2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</row>
    <row r="42" spans="1:12" x14ac:dyDescent="0.2">
      <c r="A42" s="3"/>
      <c r="B42" s="3"/>
      <c r="C42" s="52" t="s">
        <v>250</v>
      </c>
      <c r="D42" s="3"/>
      <c r="E42" s="3"/>
      <c r="F42" s="3"/>
      <c r="G42" s="3"/>
      <c r="H42" s="3"/>
      <c r="I42" s="3"/>
      <c r="J42" s="3"/>
      <c r="K42" s="3"/>
      <c r="L42" s="3"/>
    </row>
    <row r="43" spans="1:12" x14ac:dyDescent="0.2">
      <c r="C43" s="3"/>
      <c r="D43" s="3" t="s">
        <v>253</v>
      </c>
      <c r="E43" s="3" t="s">
        <v>254</v>
      </c>
      <c r="F43" s="3"/>
      <c r="G43" s="3"/>
      <c r="H43" s="3"/>
      <c r="I43" s="3"/>
      <c r="J43" s="3"/>
      <c r="K43" s="3"/>
      <c r="L43" s="3"/>
    </row>
    <row r="44" spans="1:12" x14ac:dyDescent="0.2">
      <c r="A44" s="3" t="s">
        <v>251</v>
      </c>
      <c r="B44" s="3" t="s">
        <v>252</v>
      </c>
      <c r="C44" s="3" t="s">
        <v>257</v>
      </c>
      <c r="D44" s="3" t="s">
        <v>255</v>
      </c>
      <c r="E44" s="3" t="s">
        <v>256</v>
      </c>
      <c r="F44" s="3"/>
      <c r="G44" s="3"/>
      <c r="H44" s="3"/>
      <c r="I44" s="3"/>
      <c r="J44" s="3"/>
      <c r="K44" s="3"/>
      <c r="L44" s="3"/>
    </row>
    <row r="45" spans="1:12" x14ac:dyDescent="0.2">
      <c r="A45" s="3">
        <v>0.1</v>
      </c>
      <c r="B45" s="3">
        <v>0</v>
      </c>
      <c r="C45" s="3">
        <v>1E-4</v>
      </c>
      <c r="D45" s="3">
        <f>E45/(100^3)</f>
        <v>1.4162210646443757E-13</v>
      </c>
      <c r="E45" s="3">
        <f t="shared" ref="E45:E59" si="0">$B$34*EXP(A45/$B$35)*LEAKY(((A45^2+$B$38*B45^2)/(4*$B$36*C45)),SQRT(A45^2+$B$38*B45^2)/$B$35)/(4*PI()*SQRT($B$39))</f>
        <v>1.4162210646443757E-7</v>
      </c>
      <c r="F45" s="3"/>
      <c r="G45" s="3"/>
      <c r="H45" s="3"/>
      <c r="I45" s="3"/>
      <c r="J45" s="3"/>
      <c r="K45" s="3"/>
      <c r="L45" s="3"/>
    </row>
    <row r="46" spans="1:12" x14ac:dyDescent="0.2">
      <c r="A46" s="3">
        <v>0.1</v>
      </c>
      <c r="B46" s="3">
        <v>0</v>
      </c>
      <c r="C46" s="3">
        <v>1E-3</v>
      </c>
      <c r="D46" s="3">
        <f t="shared" ref="D46:D59" si="1">E46/(100^3)</f>
        <v>6.590605396853356E-3</v>
      </c>
      <c r="E46" s="3">
        <f t="shared" si="0"/>
        <v>6590.6053968533561</v>
      </c>
      <c r="F46" s="3"/>
      <c r="G46" s="3"/>
      <c r="H46" s="3"/>
      <c r="I46" s="3"/>
      <c r="J46" s="3"/>
      <c r="K46" s="3"/>
      <c r="L46" s="3"/>
    </row>
    <row r="47" spans="1:12" x14ac:dyDescent="0.2">
      <c r="A47" s="3">
        <v>0.1</v>
      </c>
      <c r="B47" s="3">
        <v>0</v>
      </c>
      <c r="C47" s="3">
        <v>0.01</v>
      </c>
      <c r="D47" s="3">
        <f t="shared" si="1"/>
        <v>0.27591599337605177</v>
      </c>
      <c r="E47" s="3">
        <f t="shared" si="0"/>
        <v>275915.99337605177</v>
      </c>
      <c r="F47" s="3"/>
      <c r="G47" s="3"/>
      <c r="H47" s="3"/>
      <c r="I47" s="3"/>
      <c r="J47" s="3"/>
      <c r="K47" s="3"/>
      <c r="L47" s="3"/>
    </row>
    <row r="48" spans="1:12" x14ac:dyDescent="0.2">
      <c r="A48" s="3">
        <v>0.1</v>
      </c>
      <c r="B48" s="3">
        <v>0</v>
      </c>
      <c r="C48" s="3">
        <v>0.1</v>
      </c>
      <c r="D48" s="3">
        <f t="shared" si="1"/>
        <v>0.82386094591890757</v>
      </c>
      <c r="E48" s="3">
        <f t="shared" si="0"/>
        <v>823860.94591890753</v>
      </c>
      <c r="F48" s="3"/>
      <c r="G48" s="3"/>
      <c r="H48" s="3"/>
      <c r="I48" s="3"/>
      <c r="J48" s="3"/>
      <c r="K48" s="3"/>
      <c r="L48" s="3"/>
    </row>
    <row r="49" spans="1:12" x14ac:dyDescent="0.2">
      <c r="A49" s="3">
        <v>0.1</v>
      </c>
      <c r="B49" s="3">
        <v>0</v>
      </c>
      <c r="C49" s="3">
        <v>1</v>
      </c>
      <c r="D49" s="3">
        <f t="shared" si="1"/>
        <v>1.3718059639871558</v>
      </c>
      <c r="E49" s="3">
        <f t="shared" si="0"/>
        <v>1371805.9639871558</v>
      </c>
      <c r="F49" s="3"/>
      <c r="G49" s="3"/>
      <c r="H49" s="3"/>
      <c r="I49" s="3"/>
      <c r="J49" s="3"/>
      <c r="K49" s="3"/>
      <c r="L49" s="3"/>
    </row>
    <row r="50" spans="1:12" x14ac:dyDescent="0.2">
      <c r="A50" s="3">
        <v>0.1</v>
      </c>
      <c r="B50" s="3">
        <v>0</v>
      </c>
      <c r="C50" s="3">
        <v>2</v>
      </c>
      <c r="D50" s="3">
        <f t="shared" si="1"/>
        <v>1.4997485610085111</v>
      </c>
      <c r="E50" s="3">
        <f t="shared" si="0"/>
        <v>1499748.5610085111</v>
      </c>
      <c r="F50" s="3"/>
      <c r="G50" s="3"/>
      <c r="H50" s="3"/>
      <c r="I50" s="3"/>
      <c r="J50" s="3"/>
      <c r="K50" s="3"/>
      <c r="L50" s="3"/>
    </row>
    <row r="51" spans="1:12" x14ac:dyDescent="0.2">
      <c r="A51" s="3">
        <v>0.1</v>
      </c>
      <c r="B51" s="3">
        <v>0</v>
      </c>
      <c r="C51" s="3">
        <v>4</v>
      </c>
      <c r="D51" s="3">
        <f t="shared" si="1"/>
        <v>1.5897155912616319</v>
      </c>
      <c r="E51" s="3">
        <f t="shared" si="0"/>
        <v>1589715.5912616318</v>
      </c>
      <c r="F51" s="3"/>
      <c r="G51" s="3"/>
      <c r="H51" s="3"/>
      <c r="I51" s="3"/>
      <c r="J51" s="3"/>
      <c r="K51" s="3"/>
      <c r="L51" s="3"/>
    </row>
    <row r="52" spans="1:12" x14ac:dyDescent="0.2">
      <c r="A52" s="3">
        <v>0.1</v>
      </c>
      <c r="B52" s="3">
        <v>0</v>
      </c>
      <c r="C52" s="3">
        <v>8</v>
      </c>
      <c r="D52" s="3">
        <f t="shared" si="1"/>
        <v>1.6347961991416073</v>
      </c>
      <c r="E52" s="3">
        <f t="shared" si="0"/>
        <v>1634796.1991416074</v>
      </c>
    </row>
    <row r="53" spans="1:12" x14ac:dyDescent="0.2">
      <c r="A53" s="3">
        <v>0.1</v>
      </c>
      <c r="B53" s="3">
        <v>0</v>
      </c>
      <c r="C53" s="3">
        <v>16</v>
      </c>
      <c r="D53" s="3">
        <f t="shared" si="1"/>
        <v>1.6467304366873976</v>
      </c>
      <c r="E53" s="3">
        <f t="shared" si="0"/>
        <v>1646730.4366873975</v>
      </c>
    </row>
    <row r="54" spans="1:12" x14ac:dyDescent="0.2">
      <c r="A54" s="3">
        <v>0.1</v>
      </c>
      <c r="B54" s="3">
        <v>0</v>
      </c>
      <c r="C54" s="3">
        <v>32</v>
      </c>
      <c r="D54" s="3">
        <f t="shared" si="1"/>
        <v>1.6477302020798357</v>
      </c>
      <c r="E54" s="3">
        <f t="shared" si="0"/>
        <v>1647730.2020798356</v>
      </c>
    </row>
    <row r="55" spans="1:12" x14ac:dyDescent="0.2">
      <c r="A55" s="3">
        <v>0.1</v>
      </c>
      <c r="B55" s="3">
        <v>0</v>
      </c>
      <c r="C55" s="3">
        <v>64</v>
      </c>
      <c r="D55" s="3">
        <f t="shared" si="1"/>
        <v>1.6477302020798357</v>
      </c>
      <c r="E55" s="3">
        <f t="shared" si="0"/>
        <v>1647730.2020798356</v>
      </c>
    </row>
    <row r="56" spans="1:12" x14ac:dyDescent="0.2">
      <c r="A56" s="3">
        <v>0.1</v>
      </c>
      <c r="B56" s="3">
        <v>0</v>
      </c>
      <c r="C56" s="3">
        <v>128</v>
      </c>
      <c r="D56" s="3">
        <f t="shared" si="1"/>
        <v>1.6477302020798357</v>
      </c>
      <c r="E56" s="3">
        <f t="shared" si="0"/>
        <v>1647730.2020798356</v>
      </c>
    </row>
    <row r="57" spans="1:12" x14ac:dyDescent="0.2">
      <c r="A57" s="3">
        <v>0.1</v>
      </c>
      <c r="B57" s="3">
        <v>0</v>
      </c>
      <c r="C57" s="3">
        <v>256</v>
      </c>
      <c r="D57" s="3">
        <f t="shared" si="1"/>
        <v>1.6477302020798357</v>
      </c>
      <c r="E57" s="3">
        <f t="shared" si="0"/>
        <v>1647730.2020798356</v>
      </c>
    </row>
    <row r="58" spans="1:12" x14ac:dyDescent="0.2">
      <c r="A58" s="3">
        <v>0.1</v>
      </c>
      <c r="B58" s="3">
        <v>0</v>
      </c>
      <c r="C58" s="3">
        <v>512</v>
      </c>
      <c r="D58" s="3">
        <f t="shared" si="1"/>
        <v>1.6477302020798357</v>
      </c>
      <c r="E58" s="3">
        <f t="shared" si="0"/>
        <v>1647730.2020798356</v>
      </c>
    </row>
    <row r="59" spans="1:12" x14ac:dyDescent="0.2">
      <c r="A59" s="3">
        <v>0.1</v>
      </c>
      <c r="B59" s="3">
        <v>0</v>
      </c>
      <c r="C59" s="3">
        <v>1024</v>
      </c>
      <c r="D59" s="3">
        <f t="shared" si="1"/>
        <v>1.6477302020798357</v>
      </c>
      <c r="E59" s="3">
        <f t="shared" si="0"/>
        <v>1647730.2020798356</v>
      </c>
    </row>
    <row r="60" spans="1:12" x14ac:dyDescent="0.2">
      <c r="A60" s="3"/>
      <c r="B60" s="3"/>
    </row>
    <row r="61" spans="1:12" x14ac:dyDescent="0.2">
      <c r="A61" s="11"/>
      <c r="B61" s="11"/>
    </row>
    <row r="62" spans="1:12" x14ac:dyDescent="0.2">
      <c r="A62" s="52" t="s">
        <v>258</v>
      </c>
    </row>
    <row r="63" spans="1:12" x14ac:dyDescent="0.2">
      <c r="A63" s="3" t="s">
        <v>189</v>
      </c>
      <c r="B63" s="3">
        <v>1</v>
      </c>
    </row>
    <row r="64" spans="1:12" x14ac:dyDescent="0.2">
      <c r="A64" s="3" t="s">
        <v>260</v>
      </c>
      <c r="B64" s="3">
        <v>0.25</v>
      </c>
    </row>
    <row r="65" spans="1:12" x14ac:dyDescent="0.2">
      <c r="A65" s="3" t="s">
        <v>261</v>
      </c>
      <c r="B65" s="3">
        <v>0.2</v>
      </c>
    </row>
    <row r="66" spans="1:12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</row>
    <row r="67" spans="1:12" x14ac:dyDescent="0.2">
      <c r="A67" s="3"/>
      <c r="B67" s="3"/>
      <c r="C67" s="3"/>
      <c r="D67" s="3"/>
      <c r="E67" s="3"/>
      <c r="F67" s="3"/>
      <c r="G67" s="53" t="s">
        <v>259</v>
      </c>
      <c r="H67" s="3"/>
      <c r="I67" s="3"/>
      <c r="J67" s="3"/>
      <c r="K67" s="3"/>
      <c r="L67" s="3"/>
    </row>
    <row r="68" spans="1:12" x14ac:dyDescent="0.2">
      <c r="A68" s="3"/>
      <c r="B68" s="3">
        <v>-1</v>
      </c>
      <c r="C68" s="3">
        <f t="shared" ref="C68:L68" si="2">B68+$B$65</f>
        <v>-0.8</v>
      </c>
      <c r="D68" s="3">
        <f t="shared" si="2"/>
        <v>-0.60000000000000009</v>
      </c>
      <c r="E68" s="3">
        <f t="shared" si="2"/>
        <v>-0.40000000000000008</v>
      </c>
      <c r="F68" s="3">
        <f t="shared" si="2"/>
        <v>-0.20000000000000007</v>
      </c>
      <c r="G68" s="3">
        <f t="shared" si="2"/>
        <v>0</v>
      </c>
      <c r="H68" s="3">
        <f t="shared" si="2"/>
        <v>0.2</v>
      </c>
      <c r="I68" s="3">
        <f t="shared" si="2"/>
        <v>0.4</v>
      </c>
      <c r="J68" s="3">
        <f t="shared" si="2"/>
        <v>0.60000000000000009</v>
      </c>
      <c r="K68" s="3">
        <f t="shared" si="2"/>
        <v>0.8</v>
      </c>
      <c r="L68" s="3">
        <f t="shared" si="2"/>
        <v>1</v>
      </c>
    </row>
    <row r="69" spans="1:12" x14ac:dyDescent="0.2">
      <c r="A69" s="54">
        <v>-1.0001</v>
      </c>
      <c r="B69" s="43">
        <f t="shared" ref="B69:L78" si="3">$B$34*EXP($A69/$B$35)*LEAKY((($A69^2+$B$38*B$68^2)/(4*$B$36*$B$63)),SQRT($A69^2+$B$38*B$68^2)/$B$35)/(4*PI()*SQRT($B$39))/(100^3)</f>
        <v>2.4218255185598225E-3</v>
      </c>
      <c r="C69" s="44">
        <f t="shared" si="3"/>
        <v>7.9095405235118758E-3</v>
      </c>
      <c r="D69" s="44">
        <f t="shared" si="3"/>
        <v>2.2386680183613724E-2</v>
      </c>
      <c r="E69" s="44">
        <f t="shared" si="3"/>
        <v>5.3679435292550849E-2</v>
      </c>
      <c r="F69" s="44">
        <f t="shared" si="3"/>
        <v>0.10607508963593892</v>
      </c>
      <c r="G69" s="44">
        <f t="shared" si="3"/>
        <v>0.14101227233467192</v>
      </c>
      <c r="H69" s="44">
        <f t="shared" si="3"/>
        <v>0.10607508963593894</v>
      </c>
      <c r="I69" s="44">
        <f t="shared" si="3"/>
        <v>5.3679435292550919E-2</v>
      </c>
      <c r="J69" s="44">
        <f t="shared" si="3"/>
        <v>2.2386680183613724E-2</v>
      </c>
      <c r="K69" s="44">
        <f t="shared" si="3"/>
        <v>7.9095405235118758E-3</v>
      </c>
      <c r="L69" s="45">
        <f t="shared" si="3"/>
        <v>2.4218255185598225E-3</v>
      </c>
    </row>
    <row r="70" spans="1:12" x14ac:dyDescent="0.2">
      <c r="A70" s="54">
        <f t="shared" ref="A70:A98" si="4">A69+$B$64</f>
        <v>-0.75009999999999999</v>
      </c>
      <c r="B70" s="46">
        <f t="shared" si="3"/>
        <v>3.1498043425257668E-3</v>
      </c>
      <c r="C70">
        <f t="shared" si="3"/>
        <v>1.0449462693475173E-2</v>
      </c>
      <c r="D70">
        <f t="shared" si="3"/>
        <v>3.0343642648279042E-2</v>
      </c>
      <c r="E70">
        <f t="shared" si="3"/>
        <v>7.6457528721557921E-2</v>
      </c>
      <c r="F70">
        <f t="shared" si="3"/>
        <v>0.16456511124579243</v>
      </c>
      <c r="G70">
        <f t="shared" si="3"/>
        <v>0.23652449485781196</v>
      </c>
      <c r="H70">
        <f t="shared" si="3"/>
        <v>0.16456511124579243</v>
      </c>
      <c r="I70">
        <f t="shared" si="3"/>
        <v>7.6457528721557991E-2</v>
      </c>
      <c r="J70">
        <f t="shared" si="3"/>
        <v>3.0343642648279042E-2</v>
      </c>
      <c r="K70">
        <f t="shared" si="3"/>
        <v>1.0449462693475173E-2</v>
      </c>
      <c r="L70" s="47">
        <f t="shared" si="3"/>
        <v>3.1498043425257668E-3</v>
      </c>
    </row>
    <row r="71" spans="1:12" s="34" customFormat="1" x14ac:dyDescent="0.2">
      <c r="A71" s="54">
        <f t="shared" si="4"/>
        <v>-0.50009999999999999</v>
      </c>
      <c r="B71" s="46">
        <f t="shared" si="3"/>
        <v>3.9418561216170971E-3</v>
      </c>
      <c r="C71">
        <f t="shared" si="3"/>
        <v>1.323528907005884E-2</v>
      </c>
      <c r="D71">
        <f t="shared" si="3"/>
        <v>3.8482996758147252E-2</v>
      </c>
      <c r="E71">
        <f t="shared" si="3"/>
        <v>0.10323437148469015</v>
      </c>
      <c r="F71">
        <f t="shared" si="3"/>
        <v>0.24515217600961542</v>
      </c>
      <c r="G71">
        <f t="shared" si="3"/>
        <v>0.40567527732880809</v>
      </c>
      <c r="H71">
        <f t="shared" si="3"/>
        <v>0.24515217600961547</v>
      </c>
      <c r="I71">
        <f t="shared" si="3"/>
        <v>0.10323437148469021</v>
      </c>
      <c r="J71">
        <f t="shared" si="3"/>
        <v>3.8482996758147252E-2</v>
      </c>
      <c r="K71">
        <f t="shared" si="3"/>
        <v>1.323528907005884E-2</v>
      </c>
      <c r="L71" s="47">
        <f t="shared" si="3"/>
        <v>3.9418561216170971E-3</v>
      </c>
    </row>
    <row r="72" spans="1:12" s="34" customFormat="1" ht="17" thickBot="1" x14ac:dyDescent="0.25">
      <c r="A72" s="54">
        <f t="shared" si="4"/>
        <v>-0.25009999999999999</v>
      </c>
      <c r="B72" s="46">
        <f t="shared" si="3"/>
        <v>4.7427060095107804E-3</v>
      </c>
      <c r="C72">
        <f t="shared" si="3"/>
        <v>1.6045516946458328E-2</v>
      </c>
      <c r="D72">
        <f t="shared" si="3"/>
        <v>4.7347156038178913E-2</v>
      </c>
      <c r="E72">
        <f t="shared" si="3"/>
        <v>0.1307591557329679</v>
      </c>
      <c r="F72">
        <f t="shared" si="3"/>
        <v>0.33988366961912425</v>
      </c>
      <c r="G72">
        <f t="shared" si="3"/>
        <v>0.75029693712353707</v>
      </c>
      <c r="H72">
        <f t="shared" si="3"/>
        <v>0.33988366961912414</v>
      </c>
      <c r="I72">
        <f t="shared" si="3"/>
        <v>0.13075915573296795</v>
      </c>
      <c r="J72">
        <f t="shared" si="3"/>
        <v>4.7347156038178913E-2</v>
      </c>
      <c r="K72">
        <f t="shared" si="3"/>
        <v>1.6045516946458328E-2</v>
      </c>
      <c r="L72" s="47">
        <f t="shared" si="3"/>
        <v>4.7427060095107804E-3</v>
      </c>
    </row>
    <row r="73" spans="1:12" ht="17" thickBot="1" x14ac:dyDescent="0.25">
      <c r="A73" s="54">
        <f t="shared" si="4"/>
        <v>-9.9999999999988987E-5</v>
      </c>
      <c r="B73" s="46">
        <f t="shared" si="3"/>
        <v>5.4830759559554099E-3</v>
      </c>
      <c r="C73">
        <f t="shared" si="3"/>
        <v>1.8598558345379088E-2</v>
      </c>
      <c r="D73">
        <f t="shared" si="3"/>
        <v>5.5163900823176751E-2</v>
      </c>
      <c r="E73">
        <f t="shared" si="3"/>
        <v>0.15396534643191517</v>
      </c>
      <c r="F73">
        <f t="shared" si="3"/>
        <v>0.41632907440389738</v>
      </c>
      <c r="G73" s="48">
        <f t="shared" si="3"/>
        <v>4.7796629956557064</v>
      </c>
      <c r="H73">
        <f t="shared" si="3"/>
        <v>0.41632907440389738</v>
      </c>
      <c r="I73">
        <f t="shared" si="3"/>
        <v>0.15396534643191523</v>
      </c>
      <c r="J73">
        <f t="shared" si="3"/>
        <v>5.5163900823176751E-2</v>
      </c>
      <c r="K73">
        <f t="shared" si="3"/>
        <v>1.8598558345379088E-2</v>
      </c>
      <c r="L73" s="47">
        <f t="shared" si="3"/>
        <v>5.4830759559554099E-3</v>
      </c>
    </row>
    <row r="74" spans="1:12" x14ac:dyDescent="0.2">
      <c r="A74" s="54">
        <f t="shared" si="4"/>
        <v>0.24990000000000001</v>
      </c>
      <c r="B74" s="46">
        <f t="shared" si="3"/>
        <v>6.0899501949772759E-3</v>
      </c>
      <c r="C74">
        <f t="shared" si="3"/>
        <v>2.0603596725688317E-2</v>
      </c>
      <c r="D74">
        <f t="shared" si="3"/>
        <v>6.0797645202802952E-2</v>
      </c>
      <c r="E74">
        <f t="shared" si="3"/>
        <v>0.16790829122210346</v>
      </c>
      <c r="F74">
        <f t="shared" si="3"/>
        <v>0.4364713312329595</v>
      </c>
      <c r="G74">
        <f t="shared" si="3"/>
        <v>0.96384327427293226</v>
      </c>
      <c r="H74">
        <f t="shared" si="3"/>
        <v>0.43647133123295984</v>
      </c>
      <c r="I74">
        <f t="shared" si="3"/>
        <v>0.16790829122210346</v>
      </c>
      <c r="J74">
        <f t="shared" si="3"/>
        <v>6.0797645202802952E-2</v>
      </c>
      <c r="K74">
        <f t="shared" si="3"/>
        <v>2.0603596725688317E-2</v>
      </c>
      <c r="L74" s="47">
        <f t="shared" si="3"/>
        <v>6.0899501949772759E-3</v>
      </c>
    </row>
    <row r="75" spans="1:12" x14ac:dyDescent="0.2">
      <c r="A75" s="54">
        <f t="shared" si="4"/>
        <v>0.49990000000000001</v>
      </c>
      <c r="B75" s="46">
        <f t="shared" si="3"/>
        <v>6.4994366118199297E-3</v>
      </c>
      <c r="C75">
        <f t="shared" si="3"/>
        <v>2.1822867815962665E-2</v>
      </c>
      <c r="D75">
        <f t="shared" si="3"/>
        <v>6.3453250042312115E-2</v>
      </c>
      <c r="E75">
        <f t="shared" si="3"/>
        <v>0.17022445490419541</v>
      </c>
      <c r="F75">
        <f t="shared" si="3"/>
        <v>0.40426680293783102</v>
      </c>
      <c r="G75">
        <f t="shared" si="3"/>
        <v>0.6690795638540592</v>
      </c>
      <c r="H75">
        <f t="shared" si="3"/>
        <v>0.40426680293783113</v>
      </c>
      <c r="I75">
        <f t="shared" si="3"/>
        <v>0.1702244549041951</v>
      </c>
      <c r="J75">
        <f t="shared" si="3"/>
        <v>6.3453250042312115E-2</v>
      </c>
      <c r="K75">
        <f t="shared" si="3"/>
        <v>2.1822867815962665E-2</v>
      </c>
      <c r="L75" s="47">
        <f t="shared" si="3"/>
        <v>6.4994366118199297E-3</v>
      </c>
    </row>
    <row r="76" spans="1:12" x14ac:dyDescent="0.2">
      <c r="A76" s="54">
        <f t="shared" si="4"/>
        <v>0.74990000000000001</v>
      </c>
      <c r="B76" s="46">
        <f t="shared" si="3"/>
        <v>6.6687691512144244E-3</v>
      </c>
      <c r="C76">
        <f t="shared" si="3"/>
        <v>2.2123861284043918E-2</v>
      </c>
      <c r="D76">
        <f t="shared" si="3"/>
        <v>6.4245520036616155E-2</v>
      </c>
      <c r="E76">
        <f t="shared" si="3"/>
        <v>0.16188696202004199</v>
      </c>
      <c r="F76">
        <f t="shared" si="3"/>
        <v>0.34846717400368971</v>
      </c>
      <c r="G76">
        <f t="shared" si="3"/>
        <v>0.50088215275433468</v>
      </c>
      <c r="H76">
        <f t="shared" si="3"/>
        <v>0.34846717400368998</v>
      </c>
      <c r="I76">
        <f t="shared" si="3"/>
        <v>0.16188696202004199</v>
      </c>
      <c r="J76">
        <f t="shared" si="3"/>
        <v>6.4245520036616155E-2</v>
      </c>
      <c r="K76">
        <f t="shared" si="3"/>
        <v>2.2123861284043918E-2</v>
      </c>
      <c r="L76" s="47">
        <f t="shared" si="3"/>
        <v>6.6687691512144244E-3</v>
      </c>
    </row>
    <row r="77" spans="1:12" x14ac:dyDescent="0.2">
      <c r="A77" s="54">
        <f t="shared" si="4"/>
        <v>0.99990000000000001</v>
      </c>
      <c r="B77" s="46">
        <f t="shared" si="3"/>
        <v>6.5840296868660414E-3</v>
      </c>
      <c r="C77">
        <f t="shared" si="3"/>
        <v>2.1503351447132002E-2</v>
      </c>
      <c r="D77">
        <f t="shared" si="3"/>
        <v>6.0863106404288179E-2</v>
      </c>
      <c r="E77">
        <f t="shared" si="3"/>
        <v>0.14594527597874873</v>
      </c>
      <c r="F77">
        <f t="shared" si="3"/>
        <v>0.28841791836698949</v>
      </c>
      <c r="G77">
        <f t="shared" si="3"/>
        <v>0.38343024328890168</v>
      </c>
      <c r="H77">
        <f t="shared" si="3"/>
        <v>0.28841791836698955</v>
      </c>
      <c r="I77">
        <f t="shared" si="3"/>
        <v>0.14594527597874873</v>
      </c>
      <c r="J77">
        <f t="shared" si="3"/>
        <v>6.0863106404288179E-2</v>
      </c>
      <c r="K77">
        <f t="shared" si="3"/>
        <v>2.1503351447132002E-2</v>
      </c>
      <c r="L77" s="47">
        <f t="shared" si="3"/>
        <v>6.5840296868660414E-3</v>
      </c>
    </row>
    <row r="78" spans="1:12" x14ac:dyDescent="0.2">
      <c r="A78" s="54">
        <f t="shared" si="4"/>
        <v>1.2499</v>
      </c>
      <c r="B78" s="46">
        <f t="shared" si="3"/>
        <v>6.2615727303888509E-3</v>
      </c>
      <c r="C78">
        <f t="shared" si="3"/>
        <v>2.007770166724767E-2</v>
      </c>
      <c r="D78">
        <f t="shared" si="3"/>
        <v>5.5231264834640206E-2</v>
      </c>
      <c r="E78">
        <f t="shared" si="3"/>
        <v>0.12586985619307547</v>
      </c>
      <c r="F78">
        <f t="shared" si="3"/>
        <v>0.23223831717282548</v>
      </c>
      <c r="G78">
        <f t="shared" si="3"/>
        <v>0.29448091792412529</v>
      </c>
      <c r="H78">
        <f t="shared" si="3"/>
        <v>0.23223831717282553</v>
      </c>
      <c r="I78">
        <f t="shared" si="3"/>
        <v>0.12586985619307553</v>
      </c>
      <c r="J78">
        <f t="shared" si="3"/>
        <v>5.5231264834640206E-2</v>
      </c>
      <c r="K78">
        <f t="shared" si="3"/>
        <v>2.007770166724767E-2</v>
      </c>
      <c r="L78" s="47">
        <f t="shared" si="3"/>
        <v>6.2615727303888509E-3</v>
      </c>
    </row>
    <row r="79" spans="1:12" x14ac:dyDescent="0.2">
      <c r="A79" s="54">
        <f t="shared" si="4"/>
        <v>1.4999</v>
      </c>
      <c r="B79" s="46">
        <f t="shared" ref="B79:L88" si="5">$B$34*EXP($A79/$B$35)*LEAKY((($A79^2+$B$38*B$68^2)/(4*$B$36*$B$63)),SQRT($A79^2+$B$38*B$68^2)/$B$35)/(4*PI()*SQRT($B$39))/(100^3)</f>
        <v>5.743230413789868E-3</v>
      </c>
      <c r="C79">
        <f t="shared" si="5"/>
        <v>1.804732319552696E-2</v>
      </c>
      <c r="D79">
        <f t="shared" si="5"/>
        <v>4.8200157900845579E-2</v>
      </c>
      <c r="E79">
        <f t="shared" si="5"/>
        <v>0.10462581626253949</v>
      </c>
      <c r="F79">
        <f t="shared" si="5"/>
        <v>0.18275655641878485</v>
      </c>
      <c r="G79">
        <f t="shared" si="5"/>
        <v>0.22471810732590491</v>
      </c>
      <c r="H79">
        <f t="shared" si="5"/>
        <v>0.18275655641878499</v>
      </c>
      <c r="I79">
        <f t="shared" si="5"/>
        <v>0.10462581626253961</v>
      </c>
      <c r="J79">
        <f t="shared" si="5"/>
        <v>4.8200157900845579E-2</v>
      </c>
      <c r="K79">
        <f t="shared" si="5"/>
        <v>1.804732319552696E-2</v>
      </c>
      <c r="L79" s="47">
        <f t="shared" si="5"/>
        <v>5.743230413789868E-3</v>
      </c>
    </row>
    <row r="80" spans="1:12" x14ac:dyDescent="0.2">
      <c r="A80" s="54">
        <f t="shared" si="4"/>
        <v>1.7499</v>
      </c>
      <c r="B80" s="46">
        <f t="shared" si="5"/>
        <v>5.087193724077922E-3</v>
      </c>
      <c r="C80">
        <f t="shared" si="5"/>
        <v>1.5650236804033761E-2</v>
      </c>
      <c r="D80">
        <f t="shared" si="5"/>
        <v>4.0591812124996476E-2</v>
      </c>
      <c r="E80">
        <f t="shared" si="5"/>
        <v>8.6364927439447098E-2</v>
      </c>
      <c r="F80">
        <f t="shared" si="5"/>
        <v>0.14078499270551031</v>
      </c>
      <c r="G80">
        <f t="shared" si="5"/>
        <v>0.16942223007785229</v>
      </c>
      <c r="H80">
        <f t="shared" si="5"/>
        <v>0.14078499270551031</v>
      </c>
      <c r="I80">
        <f t="shared" si="5"/>
        <v>8.6364927439447098E-2</v>
      </c>
      <c r="J80">
        <f t="shared" si="5"/>
        <v>4.0591812124996476E-2</v>
      </c>
      <c r="K80">
        <f t="shared" si="5"/>
        <v>1.5650236804033761E-2</v>
      </c>
      <c r="L80" s="47">
        <f t="shared" si="5"/>
        <v>5.087193724077922E-3</v>
      </c>
    </row>
    <row r="81" spans="1:12" x14ac:dyDescent="0.2">
      <c r="A81" s="54">
        <f t="shared" si="4"/>
        <v>1.9999</v>
      </c>
      <c r="B81" s="46">
        <f t="shared" si="5"/>
        <v>4.3573383849544924E-3</v>
      </c>
      <c r="C81">
        <f t="shared" si="5"/>
        <v>1.3118927842975097E-2</v>
      </c>
      <c r="D81">
        <f t="shared" si="5"/>
        <v>3.3081765296513931E-2</v>
      </c>
      <c r="E81">
        <f t="shared" si="5"/>
        <v>6.7979177743727678E-2</v>
      </c>
      <c r="F81">
        <f t="shared" si="5"/>
        <v>0.10883471711530616</v>
      </c>
      <c r="G81">
        <f t="shared" si="5"/>
        <v>0.12593156485847823</v>
      </c>
      <c r="H81">
        <f t="shared" si="5"/>
        <v>0.10883471711530616</v>
      </c>
      <c r="I81">
        <f t="shared" si="5"/>
        <v>6.7979177743727678E-2</v>
      </c>
      <c r="J81">
        <f t="shared" si="5"/>
        <v>3.3081765296513931E-2</v>
      </c>
      <c r="K81">
        <f t="shared" si="5"/>
        <v>1.3118927842975097E-2</v>
      </c>
      <c r="L81" s="47">
        <f t="shared" si="5"/>
        <v>4.3573383849544924E-3</v>
      </c>
    </row>
    <row r="82" spans="1:12" x14ac:dyDescent="0.2">
      <c r="A82" s="54">
        <f t="shared" si="4"/>
        <v>2.2499000000000002</v>
      </c>
      <c r="B82" s="46">
        <f t="shared" si="5"/>
        <v>3.6135870261085868E-3</v>
      </c>
      <c r="C82">
        <f t="shared" si="5"/>
        <v>1.0649282029567643E-2</v>
      </c>
      <c r="D82">
        <f t="shared" si="5"/>
        <v>2.6150877955112183E-2</v>
      </c>
      <c r="E82">
        <f t="shared" si="5"/>
        <v>5.2122786718246585E-2</v>
      </c>
      <c r="F82">
        <f t="shared" si="5"/>
        <v>8.1155464371060096E-2</v>
      </c>
      <c r="G82">
        <f t="shared" si="5"/>
        <v>9.4679071368062584E-2</v>
      </c>
      <c r="H82">
        <f t="shared" si="5"/>
        <v>8.1155464371060096E-2</v>
      </c>
      <c r="I82">
        <f t="shared" si="5"/>
        <v>5.2122786718246585E-2</v>
      </c>
      <c r="J82">
        <f t="shared" si="5"/>
        <v>2.6150877955112183E-2</v>
      </c>
      <c r="K82">
        <f t="shared" si="5"/>
        <v>1.0649282029567643E-2</v>
      </c>
      <c r="L82" s="47">
        <f t="shared" si="5"/>
        <v>3.6135870261085868E-3</v>
      </c>
    </row>
    <row r="83" spans="1:12" x14ac:dyDescent="0.2">
      <c r="A83" s="54">
        <f t="shared" si="4"/>
        <v>2.4999000000000002</v>
      </c>
      <c r="B83" s="46">
        <f t="shared" si="5"/>
        <v>3.3154000050871391E-3</v>
      </c>
      <c r="C83">
        <f t="shared" si="5"/>
        <v>8.384314987895599E-3</v>
      </c>
      <c r="D83">
        <f t="shared" si="5"/>
        <v>2.0086717933478913E-2</v>
      </c>
      <c r="E83">
        <f t="shared" si="5"/>
        <v>3.8982270715768173E-2</v>
      </c>
      <c r="F83">
        <f t="shared" si="5"/>
        <v>5.9329215378991731E-2</v>
      </c>
      <c r="G83">
        <f t="shared" si="5"/>
        <v>6.8570669221941188E-2</v>
      </c>
      <c r="H83">
        <f t="shared" si="5"/>
        <v>5.9329215378991731E-2</v>
      </c>
      <c r="I83">
        <f t="shared" si="5"/>
        <v>3.8982270715768173E-2</v>
      </c>
      <c r="J83">
        <f t="shared" si="5"/>
        <v>2.0086717933478913E-2</v>
      </c>
      <c r="K83">
        <f t="shared" si="5"/>
        <v>8.384314987895599E-3</v>
      </c>
      <c r="L83" s="47">
        <f t="shared" si="5"/>
        <v>3.3154000050871391E-3</v>
      </c>
    </row>
    <row r="84" spans="1:12" x14ac:dyDescent="0.2">
      <c r="A84" s="54">
        <f t="shared" si="4"/>
        <v>2.7499000000000002</v>
      </c>
      <c r="B84" s="46">
        <f t="shared" si="5"/>
        <v>2.5506947418129007E-3</v>
      </c>
      <c r="C84">
        <f t="shared" si="5"/>
        <v>6.4110174923785969E-3</v>
      </c>
      <c r="D84">
        <f t="shared" si="5"/>
        <v>1.5012986648752738E-2</v>
      </c>
      <c r="E84">
        <f t="shared" si="5"/>
        <v>2.8462967001002315E-2</v>
      </c>
      <c r="F84">
        <f t="shared" si="5"/>
        <v>4.2508840294753512E-2</v>
      </c>
      <c r="G84">
        <f t="shared" si="5"/>
        <v>4.8763779434956307E-2</v>
      </c>
      <c r="H84">
        <f t="shared" si="5"/>
        <v>4.2508840294753512E-2</v>
      </c>
      <c r="I84">
        <f t="shared" si="5"/>
        <v>2.8462967001002315E-2</v>
      </c>
      <c r="J84">
        <f t="shared" si="5"/>
        <v>1.5012986648752738E-2</v>
      </c>
      <c r="K84">
        <f t="shared" si="5"/>
        <v>6.4110174923785969E-3</v>
      </c>
      <c r="L84" s="47">
        <f t="shared" si="5"/>
        <v>2.5506947418129007E-3</v>
      </c>
    </row>
    <row r="85" spans="1:12" x14ac:dyDescent="0.2">
      <c r="A85" s="54">
        <f t="shared" si="4"/>
        <v>2.9999000000000002</v>
      </c>
      <c r="B85" s="46">
        <f t="shared" si="5"/>
        <v>1.9001271215195704E-3</v>
      </c>
      <c r="C85">
        <f t="shared" si="5"/>
        <v>4.7664754954719075E-3</v>
      </c>
      <c r="D85">
        <f t="shared" si="5"/>
        <v>1.0930515032910548E-2</v>
      </c>
      <c r="E85">
        <f t="shared" si="5"/>
        <v>2.0301839626725569E-2</v>
      </c>
      <c r="F85">
        <f t="shared" si="5"/>
        <v>2.9842332190660861E-2</v>
      </c>
      <c r="G85">
        <f t="shared" si="5"/>
        <v>3.4024482137157461E-2</v>
      </c>
      <c r="H85">
        <f t="shared" si="5"/>
        <v>2.9842332190660861E-2</v>
      </c>
      <c r="I85">
        <f t="shared" si="5"/>
        <v>2.030183962672559E-2</v>
      </c>
      <c r="J85">
        <f t="shared" si="5"/>
        <v>1.0930515032910548E-2</v>
      </c>
      <c r="K85">
        <f t="shared" si="5"/>
        <v>4.7664754954719075E-3</v>
      </c>
      <c r="L85" s="47">
        <f t="shared" si="5"/>
        <v>1.9001271215195704E-3</v>
      </c>
    </row>
    <row r="86" spans="1:12" x14ac:dyDescent="0.2">
      <c r="A86" s="54">
        <f t="shared" si="4"/>
        <v>3.2499000000000002</v>
      </c>
      <c r="B86" s="46">
        <f t="shared" si="5"/>
        <v>1.3712839948478682E-3</v>
      </c>
      <c r="C86">
        <f t="shared" si="5"/>
        <v>3.9074039110964884E-3</v>
      </c>
      <c r="D86">
        <f t="shared" si="5"/>
        <v>7.75904627585371E-3</v>
      </c>
      <c r="E86">
        <f t="shared" si="5"/>
        <v>1.4152318055964435E-2</v>
      </c>
      <c r="F86">
        <f t="shared" si="5"/>
        <v>2.052300642346511E-2</v>
      </c>
      <c r="G86">
        <f t="shared" si="5"/>
        <v>2.3279976033479359E-2</v>
      </c>
      <c r="H86">
        <f t="shared" si="5"/>
        <v>2.052300642346511E-2</v>
      </c>
      <c r="I86">
        <f t="shared" si="5"/>
        <v>1.4152318055964435E-2</v>
      </c>
      <c r="J86">
        <f t="shared" si="5"/>
        <v>7.75904627585371E-3</v>
      </c>
      <c r="K86">
        <f t="shared" si="5"/>
        <v>3.9074039110964884E-3</v>
      </c>
      <c r="L86" s="47">
        <f t="shared" si="5"/>
        <v>1.3712839948478682E-3</v>
      </c>
    </row>
    <row r="87" spans="1:12" x14ac:dyDescent="0.2">
      <c r="A87" s="54">
        <f t="shared" si="4"/>
        <v>3.4999000000000002</v>
      </c>
      <c r="B87" s="46">
        <f t="shared" si="5"/>
        <v>9.5911682209374322E-4</v>
      </c>
      <c r="C87">
        <f t="shared" si="5"/>
        <v>2.701126252291347E-3</v>
      </c>
      <c r="D87">
        <f t="shared" si="5"/>
        <v>5.373640919954804E-3</v>
      </c>
      <c r="E87">
        <f t="shared" si="5"/>
        <v>9.6449963860495824E-3</v>
      </c>
      <c r="F87">
        <f t="shared" si="5"/>
        <v>1.3824236650532947E-2</v>
      </c>
      <c r="G87">
        <f t="shared" si="5"/>
        <v>1.5613626442194791E-2</v>
      </c>
      <c r="H87">
        <f t="shared" si="5"/>
        <v>1.3824236650532947E-2</v>
      </c>
      <c r="I87">
        <f t="shared" si="5"/>
        <v>9.6449963860495893E-3</v>
      </c>
      <c r="J87">
        <f t="shared" si="5"/>
        <v>5.373640919954804E-3</v>
      </c>
      <c r="K87">
        <f t="shared" si="5"/>
        <v>2.701126252291347E-3</v>
      </c>
      <c r="L87" s="47">
        <f t="shared" si="5"/>
        <v>9.5911682209374322E-4</v>
      </c>
    </row>
    <row r="88" spans="1:12" x14ac:dyDescent="0.2">
      <c r="A88" s="54">
        <f t="shared" si="4"/>
        <v>3.7499000000000002</v>
      </c>
      <c r="B88" s="46">
        <f t="shared" si="5"/>
        <v>6.5036681484074738E-4</v>
      </c>
      <c r="C88">
        <f t="shared" si="5"/>
        <v>1.812156886223996E-3</v>
      </c>
      <c r="D88">
        <f t="shared" si="5"/>
        <v>4.0840753946148785E-3</v>
      </c>
      <c r="E88">
        <f t="shared" si="5"/>
        <v>6.4278701131493957E-3</v>
      </c>
      <c r="F88">
        <f t="shared" si="5"/>
        <v>9.1198595048425195E-3</v>
      </c>
      <c r="G88">
        <f t="shared" si="5"/>
        <v>1.0262121420316296E-2</v>
      </c>
      <c r="H88">
        <f t="shared" si="5"/>
        <v>9.1198595048425195E-3</v>
      </c>
      <c r="I88">
        <f t="shared" si="5"/>
        <v>6.4278701131493957E-3</v>
      </c>
      <c r="J88">
        <f t="shared" si="5"/>
        <v>4.0840753946148785E-3</v>
      </c>
      <c r="K88">
        <f t="shared" si="5"/>
        <v>1.812156886223996E-3</v>
      </c>
      <c r="L88" s="47">
        <f t="shared" si="5"/>
        <v>6.5036681484074738E-4</v>
      </c>
    </row>
    <row r="89" spans="1:12" x14ac:dyDescent="0.2">
      <c r="A89" s="54">
        <f t="shared" si="4"/>
        <v>3.9999000000000002</v>
      </c>
      <c r="B89" s="46">
        <f t="shared" ref="B89:L98" si="6">$B$34*EXP($A89/$B$35)*LEAKY((($A89^2+$B$38*B$68^2)/(4*$B$36*$B$63)),SQRT($A89^2+$B$38*B$68^2)/$B$35)/(4*PI()*SQRT($B$39))/(100^3)</f>
        <v>4.2766239505415116E-4</v>
      </c>
      <c r="C89">
        <f t="shared" si="6"/>
        <v>1.1801165131142335E-3</v>
      </c>
      <c r="D89">
        <f t="shared" si="6"/>
        <v>2.633138969896968E-3</v>
      </c>
      <c r="E89">
        <f t="shared" si="6"/>
        <v>4.7135340812280201E-3</v>
      </c>
      <c r="F89">
        <f t="shared" si="6"/>
        <v>6.7139505925729731E-3</v>
      </c>
      <c r="G89">
        <f t="shared" si="6"/>
        <v>6.6083545397278331E-3</v>
      </c>
      <c r="H89">
        <f t="shared" si="6"/>
        <v>6.7139505925729731E-3</v>
      </c>
      <c r="I89">
        <f t="shared" si="6"/>
        <v>4.7135340812280201E-3</v>
      </c>
      <c r="J89">
        <f t="shared" si="6"/>
        <v>2.633138969896968E-3</v>
      </c>
      <c r="K89">
        <f t="shared" si="6"/>
        <v>1.1801165131142335E-3</v>
      </c>
      <c r="L89" s="47">
        <f t="shared" si="6"/>
        <v>4.2766239505415116E-4</v>
      </c>
    </row>
    <row r="90" spans="1:12" x14ac:dyDescent="0.2">
      <c r="A90" s="54">
        <f t="shared" si="4"/>
        <v>4.2499000000000002</v>
      </c>
      <c r="B90" s="46">
        <f t="shared" si="6"/>
        <v>2.7276401760091817E-4</v>
      </c>
      <c r="C90">
        <f t="shared" si="6"/>
        <v>7.4608285905219853E-4</v>
      </c>
      <c r="D90">
        <f t="shared" si="6"/>
        <v>1.6499830333551329E-3</v>
      </c>
      <c r="E90">
        <f t="shared" si="6"/>
        <v>2.9303650093689096E-3</v>
      </c>
      <c r="F90">
        <f t="shared" si="6"/>
        <v>4.1508376084226778E-3</v>
      </c>
      <c r="G90">
        <f t="shared" si="6"/>
        <v>4.6647710043950961E-3</v>
      </c>
      <c r="H90">
        <f t="shared" si="6"/>
        <v>4.1508376084226778E-3</v>
      </c>
      <c r="I90">
        <f t="shared" si="6"/>
        <v>2.9303650093689096E-3</v>
      </c>
      <c r="J90">
        <f t="shared" si="6"/>
        <v>1.6499830333551329E-3</v>
      </c>
      <c r="K90">
        <f t="shared" si="6"/>
        <v>7.4608285905219853E-4</v>
      </c>
      <c r="L90" s="47">
        <f t="shared" si="6"/>
        <v>2.7276401760091817E-4</v>
      </c>
    </row>
    <row r="91" spans="1:12" x14ac:dyDescent="0.2">
      <c r="A91" s="54">
        <f t="shared" si="4"/>
        <v>4.4999000000000002</v>
      </c>
      <c r="B91" s="46">
        <f t="shared" si="6"/>
        <v>1.687651254755434E-4</v>
      </c>
      <c r="C91">
        <f t="shared" si="6"/>
        <v>4.5794686539199524E-4</v>
      </c>
      <c r="D91">
        <f t="shared" si="6"/>
        <v>1.0048054823257912E-3</v>
      </c>
      <c r="E91">
        <f t="shared" si="6"/>
        <v>1.7722947738704456E-3</v>
      </c>
      <c r="F91">
        <f t="shared" si="6"/>
        <v>2.4984856537976761E-3</v>
      </c>
      <c r="G91">
        <f t="shared" si="6"/>
        <v>2.8030143372003691E-3</v>
      </c>
      <c r="H91">
        <f t="shared" si="6"/>
        <v>2.4984856537976761E-3</v>
      </c>
      <c r="I91">
        <f t="shared" si="6"/>
        <v>1.7722947738704456E-3</v>
      </c>
      <c r="J91">
        <f t="shared" si="6"/>
        <v>1.0048054823257912E-3</v>
      </c>
      <c r="K91">
        <f t="shared" si="6"/>
        <v>4.5794686539199524E-4</v>
      </c>
      <c r="L91" s="47">
        <f t="shared" si="6"/>
        <v>1.687651254755434E-4</v>
      </c>
    </row>
    <row r="92" spans="1:12" x14ac:dyDescent="0.2">
      <c r="A92" s="54">
        <f t="shared" si="4"/>
        <v>4.7499000000000002</v>
      </c>
      <c r="B92" s="46">
        <f t="shared" si="6"/>
        <v>1.0130639363374625E-4</v>
      </c>
      <c r="C92">
        <f t="shared" si="6"/>
        <v>2.7291351048606532E-4</v>
      </c>
      <c r="D92">
        <f t="shared" si="6"/>
        <v>5.9462480680759521E-4</v>
      </c>
      <c r="E92">
        <f t="shared" si="6"/>
        <v>1.0425154852419097E-3</v>
      </c>
      <c r="F92">
        <f t="shared" si="6"/>
        <v>1.4636388936262832E-3</v>
      </c>
      <c r="G92">
        <f t="shared" si="6"/>
        <v>1.6396198563146832E-3</v>
      </c>
      <c r="H92">
        <f t="shared" si="6"/>
        <v>1.4636388936262832E-3</v>
      </c>
      <c r="I92">
        <f t="shared" si="6"/>
        <v>1.0425154852419097E-3</v>
      </c>
      <c r="J92">
        <f t="shared" si="6"/>
        <v>5.9462480680759521E-4</v>
      </c>
      <c r="K92">
        <f t="shared" si="6"/>
        <v>2.7291351048606532E-4</v>
      </c>
      <c r="L92" s="47">
        <f t="shared" si="6"/>
        <v>1.0130639363374625E-4</v>
      </c>
    </row>
    <row r="93" spans="1:12" x14ac:dyDescent="0.2">
      <c r="A93" s="54">
        <f t="shared" si="4"/>
        <v>4.9999000000000002</v>
      </c>
      <c r="B93" s="46">
        <f t="shared" si="6"/>
        <v>5.9004391461890857E-5</v>
      </c>
      <c r="C93">
        <f t="shared" si="6"/>
        <v>1.5791395039137715E-4</v>
      </c>
      <c r="D93">
        <f t="shared" si="6"/>
        <v>3.4191535797146202E-4</v>
      </c>
      <c r="E93">
        <f t="shared" si="6"/>
        <v>5.9629458025289546E-4</v>
      </c>
      <c r="F93">
        <f t="shared" si="6"/>
        <v>8.3417713831768301E-4</v>
      </c>
      <c r="G93">
        <f t="shared" si="6"/>
        <v>9.3328860712920227E-4</v>
      </c>
      <c r="H93">
        <f t="shared" si="6"/>
        <v>8.3417713831768301E-4</v>
      </c>
      <c r="I93">
        <f t="shared" si="6"/>
        <v>5.9629458025289546E-4</v>
      </c>
      <c r="J93">
        <f t="shared" si="6"/>
        <v>3.4191535797146202E-4</v>
      </c>
      <c r="K93">
        <f t="shared" si="6"/>
        <v>1.5791395039137715E-4</v>
      </c>
      <c r="L93" s="47">
        <f t="shared" si="6"/>
        <v>5.9004391461890857E-5</v>
      </c>
    </row>
    <row r="94" spans="1:12" x14ac:dyDescent="0.2">
      <c r="A94" s="54">
        <f t="shared" si="4"/>
        <v>5.2499000000000002</v>
      </c>
      <c r="B94" s="46">
        <f t="shared" si="6"/>
        <v>3.3346375088622355E-5</v>
      </c>
      <c r="C94">
        <f t="shared" si="6"/>
        <v>8.871476583293089E-5</v>
      </c>
      <c r="D94">
        <f t="shared" si="6"/>
        <v>1.9101251908742778E-4</v>
      </c>
      <c r="E94">
        <f t="shared" si="6"/>
        <v>3.315715250880289E-4</v>
      </c>
      <c r="F94">
        <f t="shared" si="6"/>
        <v>4.6239969911025087E-4</v>
      </c>
      <c r="G94">
        <f t="shared" si="6"/>
        <v>5.1676875656329825E-4</v>
      </c>
      <c r="H94">
        <f t="shared" si="6"/>
        <v>4.6239969911025087E-4</v>
      </c>
      <c r="I94">
        <f t="shared" si="6"/>
        <v>3.315715250880289E-4</v>
      </c>
      <c r="J94">
        <f t="shared" si="6"/>
        <v>1.9101251908742778E-4</v>
      </c>
      <c r="K94">
        <f t="shared" si="6"/>
        <v>8.871476583293089E-5</v>
      </c>
      <c r="L94" s="47">
        <f t="shared" si="6"/>
        <v>3.3346375088622355E-5</v>
      </c>
    </row>
    <row r="95" spans="1:12" x14ac:dyDescent="0.2">
      <c r="A95" s="54">
        <f t="shared" si="4"/>
        <v>5.4999000000000002</v>
      </c>
      <c r="B95" s="46">
        <f t="shared" si="6"/>
        <v>1.8287073081273996E-5</v>
      </c>
      <c r="C95">
        <f t="shared" si="6"/>
        <v>4.8388156892972123E-5</v>
      </c>
      <c r="D95">
        <f t="shared" si="6"/>
        <v>1.0366321143804725E-4</v>
      </c>
      <c r="E95">
        <f t="shared" si="6"/>
        <v>1.79202736020493E-4</v>
      </c>
      <c r="F95">
        <f t="shared" si="6"/>
        <v>2.4922615028811124E-4</v>
      </c>
      <c r="G95">
        <f t="shared" si="6"/>
        <v>2.782619934236699E-4</v>
      </c>
      <c r="H95">
        <f t="shared" si="6"/>
        <v>2.4922615028811124E-4</v>
      </c>
      <c r="I95">
        <f t="shared" si="6"/>
        <v>1.79202736020493E-4</v>
      </c>
      <c r="J95">
        <f t="shared" si="6"/>
        <v>1.0366321143804725E-4</v>
      </c>
      <c r="K95">
        <f t="shared" si="6"/>
        <v>4.8388156892972123E-5</v>
      </c>
      <c r="L95" s="47">
        <f t="shared" si="6"/>
        <v>1.8287073081273996E-5</v>
      </c>
    </row>
    <row r="96" spans="1:12" x14ac:dyDescent="0.2">
      <c r="A96" s="54">
        <f t="shared" si="4"/>
        <v>5.7499000000000002</v>
      </c>
      <c r="B96" s="46">
        <f t="shared" si="6"/>
        <v>9.7314683833744073E-6</v>
      </c>
      <c r="C96">
        <f t="shared" si="6"/>
        <v>2.5623186240581596E-5</v>
      </c>
      <c r="D96">
        <f t="shared" si="6"/>
        <v>5.4646104044736305E-5</v>
      </c>
      <c r="E96">
        <f t="shared" si="6"/>
        <v>9.4120173333793662E-5</v>
      </c>
      <c r="F96">
        <f t="shared" si="6"/>
        <v>1.3058123673670736E-4</v>
      </c>
      <c r="G96">
        <f t="shared" si="6"/>
        <v>1.4567114630746196E-4</v>
      </c>
      <c r="H96">
        <f t="shared" si="6"/>
        <v>1.3058123673670736E-4</v>
      </c>
      <c r="I96">
        <f t="shared" si="6"/>
        <v>9.4120173333793662E-5</v>
      </c>
      <c r="J96">
        <f t="shared" si="6"/>
        <v>5.4646104044736305E-5</v>
      </c>
      <c r="K96">
        <f t="shared" si="6"/>
        <v>2.5623186240581596E-5</v>
      </c>
      <c r="L96" s="47">
        <f t="shared" si="6"/>
        <v>9.7314683833744073E-6</v>
      </c>
    </row>
    <row r="97" spans="1:12" x14ac:dyDescent="0.2">
      <c r="A97" s="54">
        <f t="shared" si="4"/>
        <v>5.9999000000000002</v>
      </c>
      <c r="B97" s="46">
        <f t="shared" si="6"/>
        <v>5.0251948973337202E-6</v>
      </c>
      <c r="C97">
        <f t="shared" si="6"/>
        <v>1.3172190351396975E-5</v>
      </c>
      <c r="D97">
        <f t="shared" si="6"/>
        <v>2.7978123423960229E-5</v>
      </c>
      <c r="E97">
        <f t="shared" si="6"/>
        <v>4.8030529168570249E-5</v>
      </c>
      <c r="F97">
        <f t="shared" si="6"/>
        <v>6.6494264291480862E-5</v>
      </c>
      <c r="G97">
        <f t="shared" si="6"/>
        <v>7.412291717888844E-5</v>
      </c>
      <c r="H97">
        <f t="shared" si="6"/>
        <v>6.6494264291480862E-5</v>
      </c>
      <c r="I97">
        <f t="shared" si="6"/>
        <v>4.8030529168570249E-5</v>
      </c>
      <c r="J97">
        <f t="shared" si="6"/>
        <v>2.7978123423960229E-5</v>
      </c>
      <c r="K97">
        <f t="shared" si="6"/>
        <v>1.3172190351396975E-5</v>
      </c>
      <c r="L97" s="47">
        <f t="shared" si="6"/>
        <v>5.0251948973337202E-6</v>
      </c>
    </row>
    <row r="98" spans="1:12" x14ac:dyDescent="0.2">
      <c r="A98" s="54">
        <f t="shared" si="4"/>
        <v>6.2499000000000002</v>
      </c>
      <c r="B98" s="49">
        <f t="shared" si="6"/>
        <v>2.5180551215537209E-6</v>
      </c>
      <c r="C98" s="50">
        <f t="shared" si="6"/>
        <v>6.5734221927984375E-6</v>
      </c>
      <c r="D98" s="50">
        <f t="shared" si="6"/>
        <v>1.3910971083399191E-5</v>
      </c>
      <c r="E98" s="50">
        <f t="shared" si="6"/>
        <v>2.3811149479118641E-5</v>
      </c>
      <c r="F98" s="50">
        <f t="shared" si="6"/>
        <v>3.2901709955755293E-5</v>
      </c>
      <c r="G98" s="50">
        <f t="shared" si="6"/>
        <v>3.6652114692857358E-5</v>
      </c>
      <c r="H98" s="50">
        <f t="shared" si="6"/>
        <v>3.2901709955755293E-5</v>
      </c>
      <c r="I98" s="50">
        <f t="shared" si="6"/>
        <v>2.3811149479118641E-5</v>
      </c>
      <c r="J98" s="50">
        <f t="shared" si="6"/>
        <v>1.3910971083399191E-5</v>
      </c>
      <c r="K98" s="50">
        <f t="shared" si="6"/>
        <v>6.5734221927984375E-6</v>
      </c>
      <c r="L98" s="51">
        <f t="shared" si="6"/>
        <v>2.5180551215537209E-6</v>
      </c>
    </row>
    <row r="99" spans="1:12" x14ac:dyDescent="0.2">
      <c r="A99" s="34"/>
      <c r="B99" s="34"/>
    </row>
    <row r="100" spans="1:12" x14ac:dyDescent="0.2">
      <c r="A100" s="34"/>
      <c r="B100" s="34"/>
    </row>
    <row r="101" spans="1:12" x14ac:dyDescent="0.2">
      <c r="A101" s="34"/>
      <c r="B101" s="34"/>
    </row>
    <row r="102" spans="1:12" x14ac:dyDescent="0.2">
      <c r="A102" s="34"/>
      <c r="B102" s="34"/>
    </row>
    <row r="103" spans="1:12" x14ac:dyDescent="0.2">
      <c r="A103" s="34"/>
      <c r="B103" s="3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A1:L41"/>
  <sheetViews>
    <sheetView workbookViewId="0"/>
  </sheetViews>
  <sheetFormatPr baseColWidth="10" defaultRowHeight="16" x14ac:dyDescent="0.2"/>
  <cols>
    <col min="1" max="1" width="12.6640625" customWidth="1"/>
    <col min="2" max="2" width="9.1640625" customWidth="1"/>
    <col min="3" max="3" width="9.5" customWidth="1"/>
    <col min="5" max="5" width="10.33203125" customWidth="1"/>
    <col min="6" max="6" width="11.6640625" customWidth="1"/>
  </cols>
  <sheetData>
    <row r="1" spans="1:12" x14ac:dyDescent="0.2">
      <c r="A1" s="3" t="s">
        <v>163</v>
      </c>
      <c r="B1" t="s">
        <v>161</v>
      </c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 x14ac:dyDescent="0.2">
      <c r="A2" s="3" t="s">
        <v>191</v>
      </c>
      <c r="B2" s="3" t="s">
        <v>192</v>
      </c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 x14ac:dyDescent="0.2">
      <c r="A3" s="3" t="s">
        <v>128</v>
      </c>
      <c r="B3" s="3" t="s">
        <v>83</v>
      </c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 x14ac:dyDescent="0.2">
      <c r="A4" s="3" t="s">
        <v>30</v>
      </c>
      <c r="B4" s="3" t="s">
        <v>84</v>
      </c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 x14ac:dyDescent="0.2">
      <c r="A5" s="3" t="s">
        <v>85</v>
      </c>
      <c r="B5" s="3" t="s">
        <v>86</v>
      </c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 x14ac:dyDescent="0.2">
      <c r="B6" s="3" t="s">
        <v>230</v>
      </c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 x14ac:dyDescent="0.2">
      <c r="A7" s="3" t="s">
        <v>87</v>
      </c>
      <c r="B7" s="3" t="s">
        <v>193</v>
      </c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 x14ac:dyDescent="0.2">
      <c r="A8" s="3"/>
      <c r="B8" s="3" t="s">
        <v>194</v>
      </c>
      <c r="C8" s="3"/>
      <c r="D8" s="3"/>
      <c r="E8" s="3"/>
      <c r="F8" s="3"/>
      <c r="G8" s="3"/>
      <c r="H8" s="3"/>
      <c r="I8" s="3"/>
      <c r="J8" s="3"/>
      <c r="K8" s="3"/>
      <c r="L8" s="3"/>
    </row>
    <row r="9" spans="1:12" x14ac:dyDescent="0.2">
      <c r="A9" s="3"/>
      <c r="B9" s="3" t="s">
        <v>195</v>
      </c>
      <c r="C9" s="3"/>
      <c r="D9" s="3"/>
      <c r="E9" s="3"/>
      <c r="F9" s="3"/>
      <c r="G9" s="3"/>
      <c r="H9" s="3"/>
      <c r="I9" s="3"/>
      <c r="J9" s="3"/>
      <c r="K9" s="3"/>
      <c r="L9" s="3"/>
    </row>
    <row r="10" spans="1:12" x14ac:dyDescent="0.2">
      <c r="A10" s="3"/>
      <c r="B10" s="3" t="s">
        <v>196</v>
      </c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2" x14ac:dyDescent="0.2">
      <c r="A11" s="3" t="s">
        <v>93</v>
      </c>
      <c r="B11" s="3" t="s">
        <v>125</v>
      </c>
      <c r="C11" s="3" t="s">
        <v>160</v>
      </c>
      <c r="D11" s="3"/>
      <c r="E11" s="3"/>
      <c r="F11" s="3"/>
      <c r="G11" s="3"/>
      <c r="H11" s="3"/>
      <c r="I11" s="3"/>
      <c r="J11" s="3"/>
      <c r="K11" s="3"/>
      <c r="L11" s="3"/>
    </row>
    <row r="12" spans="1:12" x14ac:dyDescent="0.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 x14ac:dyDescent="0.2">
      <c r="A13" s="3" t="s">
        <v>199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 x14ac:dyDescent="0.2">
      <c r="A14" s="3" t="s">
        <v>166</v>
      </c>
      <c r="B14" s="3">
        <v>25</v>
      </c>
      <c r="C14" s="3" t="s">
        <v>167</v>
      </c>
      <c r="D14" s="3">
        <f>B14/7.48</f>
        <v>3.3422459893048124</v>
      </c>
      <c r="E14" s="3" t="s">
        <v>168</v>
      </c>
      <c r="F14" s="3">
        <f>D14*1440</f>
        <v>4812.8342245989297</v>
      </c>
      <c r="G14" s="3" t="s">
        <v>169</v>
      </c>
      <c r="H14" s="3">
        <f>D14/(3.28^3)</f>
        <v>9.4714589136271427E-2</v>
      </c>
      <c r="I14" s="3" t="s">
        <v>170</v>
      </c>
      <c r="J14" s="3">
        <f>H14*1440</f>
        <v>136.38900835623085</v>
      </c>
      <c r="K14" s="3" t="s">
        <v>171</v>
      </c>
      <c r="L14" s="3"/>
    </row>
    <row r="15" spans="1:12" x14ac:dyDescent="0.2">
      <c r="A15" s="3" t="s">
        <v>172</v>
      </c>
      <c r="B15" s="3">
        <v>0.76</v>
      </c>
      <c r="C15" s="3" t="s">
        <v>173</v>
      </c>
      <c r="D15" s="3">
        <f>B15*1440</f>
        <v>1094.4000000000001</v>
      </c>
      <c r="E15" s="3" t="s">
        <v>174</v>
      </c>
      <c r="F15" s="3">
        <f>B15*7.48</f>
        <v>5.6848000000000001</v>
      </c>
      <c r="G15" s="3" t="s">
        <v>175</v>
      </c>
      <c r="H15" s="3">
        <f>D15/(3.28^2)</f>
        <v>101.72516359309937</v>
      </c>
      <c r="I15" s="3" t="s">
        <v>197</v>
      </c>
      <c r="J15" s="3">
        <f>H15/1440</f>
        <v>7.0642474717430112E-2</v>
      </c>
      <c r="K15" s="3" t="s">
        <v>198</v>
      </c>
      <c r="L15" s="3"/>
    </row>
    <row r="16" spans="1:12" x14ac:dyDescent="0.2">
      <c r="L16" s="3"/>
    </row>
    <row r="17" spans="1:12" x14ac:dyDescent="0.2">
      <c r="A17" s="3" t="s">
        <v>33</v>
      </c>
      <c r="B17" s="3"/>
      <c r="C17" s="3"/>
      <c r="H17" s="3"/>
      <c r="I17" s="3"/>
      <c r="J17" s="3"/>
      <c r="K17" s="3"/>
      <c r="L17" s="3"/>
    </row>
    <row r="18" spans="1:12" x14ac:dyDescent="0.2">
      <c r="A18" s="3" t="s">
        <v>176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 x14ac:dyDescent="0.2">
      <c r="A19" s="3" t="s">
        <v>177</v>
      </c>
      <c r="B19" s="3" t="s">
        <v>178</v>
      </c>
      <c r="C19" s="3" t="s">
        <v>179</v>
      </c>
      <c r="D19" s="3" t="s">
        <v>180</v>
      </c>
      <c r="E19" s="3"/>
      <c r="F19" s="3"/>
      <c r="G19" s="3"/>
      <c r="H19" s="3"/>
      <c r="I19" s="3"/>
      <c r="J19" s="3"/>
      <c r="K19" s="3"/>
      <c r="L19" s="3"/>
    </row>
    <row r="20" spans="1:12" x14ac:dyDescent="0.2">
      <c r="A20" s="3" t="s">
        <v>166</v>
      </c>
      <c r="B20" s="3">
        <v>11</v>
      </c>
      <c r="C20" s="3" t="s">
        <v>181</v>
      </c>
      <c r="D20" s="3" t="s">
        <v>182</v>
      </c>
      <c r="E20" s="3"/>
      <c r="F20" s="3"/>
      <c r="G20" s="3"/>
      <c r="H20" s="3"/>
      <c r="I20" s="3"/>
      <c r="J20" s="3"/>
      <c r="K20" s="3"/>
      <c r="L20" s="3"/>
    </row>
    <row r="21" spans="1:12" x14ac:dyDescent="0.2">
      <c r="A21" s="3" t="s">
        <v>172</v>
      </c>
      <c r="B21" s="3">
        <v>0.76</v>
      </c>
      <c r="C21" s="3" t="s">
        <v>183</v>
      </c>
      <c r="D21" s="3" t="s">
        <v>184</v>
      </c>
      <c r="E21" s="3"/>
      <c r="F21" s="3"/>
      <c r="G21" s="3"/>
      <c r="H21" s="3"/>
      <c r="I21" s="3"/>
      <c r="J21" s="3"/>
      <c r="K21" s="3"/>
      <c r="L21" s="3"/>
    </row>
    <row r="22" spans="1:12" x14ac:dyDescent="0.2">
      <c r="A22" s="3" t="s">
        <v>185</v>
      </c>
      <c r="B22" s="3">
        <v>5.0000000000000001E-4</v>
      </c>
      <c r="C22" s="3"/>
      <c r="D22" s="3" t="s">
        <v>186</v>
      </c>
      <c r="E22" s="3"/>
      <c r="F22" s="3"/>
      <c r="G22" s="3"/>
      <c r="H22" s="3"/>
      <c r="I22" s="3"/>
      <c r="J22" s="3"/>
      <c r="K22" s="3"/>
      <c r="L22" s="3"/>
    </row>
    <row r="23" spans="1:12" x14ac:dyDescent="0.2">
      <c r="A23" s="3" t="s">
        <v>187</v>
      </c>
      <c r="B23" s="3">
        <v>96</v>
      </c>
      <c r="C23" s="3" t="s">
        <v>188</v>
      </c>
      <c r="D23" s="3"/>
      <c r="E23" s="3"/>
      <c r="F23" s="3"/>
      <c r="G23" s="3"/>
      <c r="H23" s="3"/>
      <c r="I23" s="3"/>
      <c r="J23" s="3"/>
      <c r="K23" s="3"/>
      <c r="L23" s="3"/>
    </row>
    <row r="24" spans="1:12" x14ac:dyDescent="0.2">
      <c r="A24" s="3" t="s">
        <v>103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</row>
    <row r="25" spans="1:12" x14ac:dyDescent="0.2">
      <c r="A25" s="3" t="s">
        <v>207</v>
      </c>
      <c r="B25" s="3">
        <f>B20/(4*PI()*B21)</f>
        <v>1.15177919342819</v>
      </c>
      <c r="C25" s="3"/>
      <c r="D25" s="3"/>
      <c r="E25" s="3"/>
      <c r="F25" s="3"/>
      <c r="G25" s="3"/>
      <c r="H25" s="3"/>
      <c r="I25" s="3"/>
      <c r="J25" s="3"/>
      <c r="K25" s="3"/>
      <c r="L25" s="3"/>
    </row>
    <row r="26" spans="1:12" x14ac:dyDescent="0.2">
      <c r="A26" s="38" t="s">
        <v>73</v>
      </c>
      <c r="B26" s="3" t="str">
        <f>CONCATENATE("Drawdown history at ",B23," (feet) from pumping well ")</f>
        <v xml:space="preserve">Drawdown history at 96 (feet) from pumping well </v>
      </c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2">
      <c r="A27" s="3" t="s">
        <v>189</v>
      </c>
      <c r="B27" s="3" t="s">
        <v>190</v>
      </c>
      <c r="C27" s="3"/>
      <c r="D27" s="3"/>
      <c r="E27" s="3"/>
      <c r="F27" s="3"/>
      <c r="G27" s="3"/>
      <c r="H27" s="3"/>
      <c r="I27" s="3"/>
      <c r="J27" s="3"/>
      <c r="K27" s="3"/>
      <c r="L27" s="3"/>
    </row>
    <row r="28" spans="1:12" ht="130" x14ac:dyDescent="0.2">
      <c r="A28" s="11" t="s">
        <v>206</v>
      </c>
      <c r="B28" s="1" t="s">
        <v>201</v>
      </c>
      <c r="C28" s="39" t="s">
        <v>200</v>
      </c>
      <c r="D28" s="40" t="s">
        <v>159</v>
      </c>
      <c r="E28" s="11" t="s">
        <v>205</v>
      </c>
      <c r="F28" s="11" t="s">
        <v>202</v>
      </c>
      <c r="G28" s="11" t="s">
        <v>203</v>
      </c>
      <c r="H28" s="3"/>
      <c r="I28" s="3"/>
      <c r="J28" s="3"/>
      <c r="K28" s="3"/>
      <c r="L28" s="3"/>
    </row>
    <row r="29" spans="1:12" x14ac:dyDescent="0.2">
      <c r="A29" s="3">
        <v>5</v>
      </c>
      <c r="B29">
        <v>96</v>
      </c>
      <c r="C29">
        <f>(B29^2*$B$22)/(4*$B$21*A29)</f>
        <v>0.30315789473684218</v>
      </c>
      <c r="D29">
        <f>W(C29)</f>
        <v>0.89793161367575303</v>
      </c>
      <c r="E29">
        <f>$B$25*D29</f>
        <v>1.034218949753132</v>
      </c>
      <c r="F29" s="3">
        <v>0.96155025185460385</v>
      </c>
      <c r="G29">
        <f>(E29-F29)^2</f>
        <v>5.2807396542675486E-3</v>
      </c>
    </row>
    <row r="30" spans="1:12" x14ac:dyDescent="0.2">
      <c r="A30" s="3">
        <v>28</v>
      </c>
      <c r="B30">
        <v>96</v>
      </c>
      <c r="C30">
        <f t="shared" ref="C30:C39" si="0">(B30^2*$B$22)/(4*$B$21*A30)</f>
        <v>5.4135338345864668E-2</v>
      </c>
      <c r="D30">
        <f t="shared" ref="D30:D39" si="1">W(C30)</f>
        <v>2.3924636212598998</v>
      </c>
      <c r="E30">
        <f t="shared" ref="E30:E39" si="2">$B$25*D30</f>
        <v>2.7555898200010138</v>
      </c>
      <c r="F30" s="3">
        <v>2.6659802293444845</v>
      </c>
      <c r="G30">
        <f t="shared" ref="G30:G39" si="3">(E30-F30)^2</f>
        <v>8.0298787376307419E-3</v>
      </c>
    </row>
    <row r="31" spans="1:12" x14ac:dyDescent="0.2">
      <c r="A31" s="3">
        <v>41</v>
      </c>
      <c r="B31">
        <v>96</v>
      </c>
      <c r="C31">
        <f t="shared" si="0"/>
        <v>3.6970474967907577E-2</v>
      </c>
      <c r="D31">
        <f t="shared" si="1"/>
        <v>2.7570513647840569</v>
      </c>
      <c r="E31">
        <f t="shared" si="2"/>
        <v>3.1755143971710713</v>
      </c>
      <c r="F31" s="3">
        <v>3.0855088436859037</v>
      </c>
      <c r="G31">
        <f t="shared" si="3"/>
        <v>8.100999658171364E-3</v>
      </c>
    </row>
    <row r="32" spans="1:12" x14ac:dyDescent="0.2">
      <c r="A32" s="3">
        <v>60</v>
      </c>
      <c r="B32">
        <v>96</v>
      </c>
      <c r="C32">
        <f t="shared" si="0"/>
        <v>2.5263157894736845E-2</v>
      </c>
      <c r="D32">
        <f t="shared" si="1"/>
        <v>3.1262968346253044</v>
      </c>
      <c r="E32">
        <f t="shared" si="2"/>
        <v>3.6008036466018365</v>
      </c>
      <c r="F32" s="3">
        <v>3.5109705383628724</v>
      </c>
      <c r="G32">
        <f t="shared" si="3"/>
        <v>8.0699873358734339E-3</v>
      </c>
    </row>
    <row r="33" spans="1:7" x14ac:dyDescent="0.2">
      <c r="A33" s="3">
        <v>75</v>
      </c>
      <c r="B33">
        <v>96</v>
      </c>
      <c r="C33">
        <f t="shared" si="0"/>
        <v>2.0210526315789477E-2</v>
      </c>
      <c r="D33">
        <f t="shared" si="1"/>
        <v>3.3444447830365926</v>
      </c>
      <c r="E33">
        <f t="shared" si="2"/>
        <v>3.8520619146710047</v>
      </c>
      <c r="F33" s="3">
        <v>3.7625233338455732</v>
      </c>
      <c r="G33">
        <f t="shared" si="3"/>
        <v>8.0171574562323163E-3</v>
      </c>
    </row>
    <row r="34" spans="1:7" x14ac:dyDescent="0.2">
      <c r="A34" s="3">
        <v>244</v>
      </c>
      <c r="B34">
        <v>96</v>
      </c>
      <c r="C34">
        <f t="shared" si="0"/>
        <v>6.2122519413287322E-3</v>
      </c>
      <c r="D34">
        <f t="shared" si="1"/>
        <v>4.5102187277789616</v>
      </c>
      <c r="E34">
        <f t="shared" si="2"/>
        <v>5.1947760884659697</v>
      </c>
      <c r="F34" s="3">
        <v>5.1081853259300862</v>
      </c>
      <c r="G34">
        <f t="shared" si="3"/>
        <v>7.4979601565457639E-3</v>
      </c>
    </row>
    <row r="35" spans="1:7" x14ac:dyDescent="0.2">
      <c r="A35" s="3">
        <v>493</v>
      </c>
      <c r="B35">
        <v>96</v>
      </c>
      <c r="C35">
        <f t="shared" si="0"/>
        <v>3.0746236788726381E-3</v>
      </c>
      <c r="D35">
        <f t="shared" si="1"/>
        <v>5.2104293440553233</v>
      </c>
      <c r="E35">
        <f t="shared" si="2"/>
        <v>6.0012641073106137</v>
      </c>
      <c r="F35" s="3">
        <v>5.9170094618137989</v>
      </c>
      <c r="G35">
        <f t="shared" si="3"/>
        <v>7.0988452877939201E-3</v>
      </c>
    </row>
    <row r="36" spans="1:7" x14ac:dyDescent="0.2">
      <c r="A36" s="3">
        <v>669</v>
      </c>
      <c r="B36">
        <v>96</v>
      </c>
      <c r="C36">
        <f t="shared" si="0"/>
        <v>2.2657540712768473E-3</v>
      </c>
      <c r="D36">
        <f t="shared" si="1"/>
        <v>5.5148964456300371</v>
      </c>
      <c r="E36">
        <f t="shared" si="2"/>
        <v>6.351942979987756</v>
      </c>
      <c r="F36" s="3">
        <v>6.2687644111562282</v>
      </c>
      <c r="G36">
        <f t="shared" si="3"/>
        <v>6.9186743128612175E-3</v>
      </c>
    </row>
    <row r="37" spans="1:7" x14ac:dyDescent="0.2">
      <c r="A37" s="3">
        <v>958</v>
      </c>
      <c r="B37">
        <v>96</v>
      </c>
      <c r="C37">
        <f t="shared" si="0"/>
        <v>1.5822437094824746E-3</v>
      </c>
      <c r="D37">
        <f t="shared" si="1"/>
        <v>5.8732773155049172</v>
      </c>
      <c r="E37">
        <f t="shared" si="2"/>
        <v>6.7647186092323386</v>
      </c>
      <c r="F37" s="3">
        <v>6.6828359042083267</v>
      </c>
      <c r="G37">
        <f t="shared" si="3"/>
        <v>6.7047773820493352E-3</v>
      </c>
    </row>
    <row r="38" spans="1:7" x14ac:dyDescent="0.2">
      <c r="A38" s="3">
        <v>1129</v>
      </c>
      <c r="B38">
        <v>96</v>
      </c>
      <c r="C38">
        <f t="shared" si="0"/>
        <v>1.3425947508274674E-3</v>
      </c>
      <c r="D38">
        <f t="shared" si="1"/>
        <v>6.0372776297449198</v>
      </c>
      <c r="E38">
        <f t="shared" si="2"/>
        <v>6.9536107588896581</v>
      </c>
      <c r="F38" s="3">
        <v>6.8723290313452603</v>
      </c>
      <c r="G38">
        <f t="shared" si="3"/>
        <v>6.6067192326017118E-3</v>
      </c>
    </row>
    <row r="39" spans="1:7" x14ac:dyDescent="0.2">
      <c r="A39" s="3">
        <v>1185</v>
      </c>
      <c r="B39">
        <v>96</v>
      </c>
      <c r="C39">
        <f t="shared" si="0"/>
        <v>1.279147235176549E-3</v>
      </c>
      <c r="D39">
        <f t="shared" si="1"/>
        <v>6.085624713713683</v>
      </c>
      <c r="E39">
        <f t="shared" si="2"/>
        <v>7.0092959242678052</v>
      </c>
      <c r="F39" s="3">
        <v>6.9281921494756391</v>
      </c>
      <c r="G39">
        <f t="shared" si="3"/>
        <v>6.5778222855384016E-3</v>
      </c>
    </row>
    <row r="41" spans="1:7" x14ac:dyDescent="0.2">
      <c r="F41" t="s">
        <v>204</v>
      </c>
      <c r="G41">
        <f>SUM(G29:G39)</f>
        <v>7.8903561499565747E-2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"/>
  <dimension ref="A1:R46"/>
  <sheetViews>
    <sheetView workbookViewId="0"/>
  </sheetViews>
  <sheetFormatPr baseColWidth="10" defaultRowHeight="16" x14ac:dyDescent="0.2"/>
  <cols>
    <col min="1" max="1" width="11" bestFit="1" customWidth="1"/>
    <col min="2" max="8" width="9.1640625" customWidth="1"/>
    <col min="9" max="11" width="9.33203125" customWidth="1"/>
  </cols>
  <sheetData>
    <row r="1" spans="1:11" x14ac:dyDescent="0.2">
      <c r="A1" s="3" t="s">
        <v>163</v>
      </c>
      <c r="B1" t="s">
        <v>222</v>
      </c>
      <c r="C1" s="3"/>
      <c r="D1" s="34"/>
      <c r="E1" s="34"/>
      <c r="F1" s="34"/>
      <c r="G1" s="34"/>
      <c r="H1" s="34"/>
      <c r="I1" s="34"/>
      <c r="J1" s="34"/>
      <c r="K1" s="34"/>
    </row>
    <row r="2" spans="1:11" x14ac:dyDescent="0.2">
      <c r="A2" s="3" t="s">
        <v>191</v>
      </c>
      <c r="B2" s="3" t="s">
        <v>192</v>
      </c>
      <c r="C2" s="3"/>
      <c r="D2" s="34"/>
      <c r="E2" s="34"/>
      <c r="F2" s="34"/>
      <c r="G2" s="34"/>
      <c r="H2" s="34"/>
      <c r="I2" s="34"/>
      <c r="J2" s="34"/>
      <c r="K2" s="34"/>
    </row>
    <row r="3" spans="1:11" x14ac:dyDescent="0.2">
      <c r="A3" s="3" t="s">
        <v>128</v>
      </c>
      <c r="B3" s="3" t="s">
        <v>220</v>
      </c>
      <c r="C3" s="3"/>
      <c r="D3" s="34"/>
      <c r="E3" s="34"/>
      <c r="F3" s="34"/>
      <c r="G3" s="34"/>
      <c r="H3" s="34"/>
      <c r="I3" s="34"/>
      <c r="J3" s="34"/>
      <c r="K3" s="34"/>
    </row>
    <row r="4" spans="1:11" x14ac:dyDescent="0.2">
      <c r="D4" s="34"/>
      <c r="E4" s="34"/>
      <c r="F4" s="34"/>
      <c r="G4" s="34"/>
      <c r="H4" s="34"/>
      <c r="I4" s="34"/>
      <c r="J4" s="34"/>
      <c r="K4" s="34"/>
    </row>
    <row r="5" spans="1:11" x14ac:dyDescent="0.2">
      <c r="A5" s="3" t="s">
        <v>30</v>
      </c>
      <c r="B5" s="3"/>
      <c r="C5" s="3"/>
      <c r="D5" s="34"/>
      <c r="E5" s="34"/>
      <c r="F5" s="34"/>
      <c r="G5" s="34"/>
      <c r="H5" s="34"/>
      <c r="I5" s="34"/>
      <c r="J5" s="34"/>
      <c r="K5" s="34"/>
    </row>
    <row r="6" spans="1:11" x14ac:dyDescent="0.2">
      <c r="A6" s="3" t="s">
        <v>85</v>
      </c>
      <c r="B6" s="3" t="s">
        <v>86</v>
      </c>
      <c r="C6" s="3"/>
      <c r="D6" s="34"/>
      <c r="E6" s="34"/>
      <c r="F6" s="34"/>
      <c r="G6" s="34"/>
      <c r="H6" s="34"/>
      <c r="I6" s="34"/>
      <c r="J6" s="34"/>
      <c r="K6" s="34"/>
    </row>
    <row r="7" spans="1:11" x14ac:dyDescent="0.2">
      <c r="B7" s="3" t="s">
        <v>230</v>
      </c>
      <c r="E7" s="34"/>
      <c r="F7" s="34"/>
      <c r="G7" s="34"/>
      <c r="H7" s="34"/>
      <c r="I7" s="34"/>
      <c r="J7" s="34"/>
      <c r="K7" s="34"/>
    </row>
    <row r="8" spans="1:11" x14ac:dyDescent="0.2">
      <c r="A8" s="3" t="s">
        <v>87</v>
      </c>
      <c r="B8" s="3" t="s">
        <v>193</v>
      </c>
      <c r="C8" s="3"/>
      <c r="D8" s="34"/>
      <c r="E8" s="34"/>
      <c r="F8" s="34"/>
      <c r="G8" s="34"/>
      <c r="H8" s="34"/>
      <c r="I8" s="34"/>
      <c r="J8" s="34"/>
      <c r="K8" s="34"/>
    </row>
    <row r="9" spans="1:11" x14ac:dyDescent="0.2">
      <c r="A9" s="3"/>
      <c r="B9" s="3" t="s">
        <v>194</v>
      </c>
      <c r="C9" s="3"/>
      <c r="D9" s="34"/>
      <c r="E9" s="34"/>
      <c r="F9" s="34"/>
      <c r="G9" s="34"/>
      <c r="H9" s="34"/>
      <c r="I9" s="34"/>
      <c r="J9" s="34"/>
      <c r="K9" s="34"/>
    </row>
    <row r="10" spans="1:11" x14ac:dyDescent="0.2">
      <c r="A10" s="3"/>
      <c r="B10" s="3" t="s">
        <v>225</v>
      </c>
      <c r="C10" s="3"/>
      <c r="D10" s="34"/>
      <c r="E10" s="34"/>
      <c r="F10" s="34"/>
      <c r="G10" s="34"/>
      <c r="H10" s="34"/>
      <c r="I10" s="34"/>
      <c r="J10" s="34"/>
      <c r="K10" s="34"/>
    </row>
    <row r="11" spans="1:11" x14ac:dyDescent="0.2">
      <c r="A11" s="3"/>
      <c r="B11" s="3" t="s">
        <v>196</v>
      </c>
      <c r="C11" s="3"/>
      <c r="D11" s="34"/>
      <c r="E11" s="34"/>
      <c r="F11" s="34"/>
      <c r="G11" s="34"/>
      <c r="H11" s="34"/>
      <c r="I11" s="34"/>
      <c r="J11" s="34"/>
      <c r="K11" s="34"/>
    </row>
    <row r="12" spans="1:11" x14ac:dyDescent="0.2">
      <c r="A12" s="3" t="s">
        <v>93</v>
      </c>
      <c r="B12" s="3" t="s">
        <v>221</v>
      </c>
      <c r="D12" s="3" t="s">
        <v>160</v>
      </c>
      <c r="E12" s="34"/>
      <c r="F12" s="34"/>
      <c r="G12" s="34"/>
      <c r="H12" s="34"/>
      <c r="I12" s="34"/>
      <c r="J12" s="34"/>
      <c r="K12" s="34"/>
    </row>
    <row r="13" spans="1:11" x14ac:dyDescent="0.2">
      <c r="E13" s="34"/>
      <c r="F13" s="34"/>
      <c r="G13" s="34"/>
      <c r="H13" s="34"/>
      <c r="I13" s="34"/>
      <c r="J13" s="34"/>
      <c r="K13" s="34"/>
    </row>
    <row r="14" spans="1:11" x14ac:dyDescent="0.2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</row>
    <row r="15" spans="1:11" x14ac:dyDescent="0.2">
      <c r="A15" s="3" t="s">
        <v>199</v>
      </c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1:11" x14ac:dyDescent="0.2">
      <c r="A16" s="3" t="s">
        <v>166</v>
      </c>
      <c r="B16" s="3">
        <v>25</v>
      </c>
      <c r="C16" s="3" t="s">
        <v>167</v>
      </c>
      <c r="D16" s="3">
        <f>B16/7.48</f>
        <v>3.3422459893048124</v>
      </c>
      <c r="E16" s="42" t="s">
        <v>168</v>
      </c>
      <c r="F16" s="3">
        <f>D16*1440</f>
        <v>4812.8342245989297</v>
      </c>
      <c r="G16" s="3" t="s">
        <v>169</v>
      </c>
      <c r="H16" s="3">
        <f>D16/(3.25^3)</f>
        <v>9.736174024374511E-2</v>
      </c>
      <c r="I16" s="3" t="s">
        <v>170</v>
      </c>
      <c r="J16" s="3">
        <f>H16*1440</f>
        <v>140.20090595099296</v>
      </c>
      <c r="K16" s="3" t="s">
        <v>171</v>
      </c>
    </row>
    <row r="17" spans="1:11" x14ac:dyDescent="0.2">
      <c r="A17" s="3" t="s">
        <v>172</v>
      </c>
      <c r="B17" s="3">
        <v>0.17219999999999999</v>
      </c>
      <c r="C17" s="3" t="s">
        <v>173</v>
      </c>
      <c r="D17" s="3">
        <f>B17*1440</f>
        <v>247.96799999999999</v>
      </c>
      <c r="E17" s="3" t="s">
        <v>174</v>
      </c>
      <c r="F17" s="3">
        <f>B17*7.48</f>
        <v>1.2880560000000001</v>
      </c>
      <c r="G17" s="3" t="s">
        <v>175</v>
      </c>
      <c r="H17" s="3">
        <f>D17/(3.28^2)</f>
        <v>23.04878048780488</v>
      </c>
      <c r="I17" s="3" t="s">
        <v>197</v>
      </c>
      <c r="J17" s="3">
        <f>H17/1440</f>
        <v>1.600609756097561E-2</v>
      </c>
      <c r="K17" s="3" t="s">
        <v>198</v>
      </c>
    </row>
    <row r="19" spans="1:11" x14ac:dyDescent="0.2">
      <c r="A19" s="3" t="s">
        <v>176</v>
      </c>
      <c r="B19" s="3"/>
      <c r="C19" s="3"/>
      <c r="D19" s="3"/>
      <c r="E19" s="3"/>
      <c r="F19" s="34"/>
      <c r="G19" s="34"/>
      <c r="H19" s="34"/>
      <c r="I19" s="34"/>
      <c r="J19" s="34"/>
      <c r="K19" s="34"/>
    </row>
    <row r="20" spans="1:11" x14ac:dyDescent="0.2">
      <c r="A20" s="3" t="s">
        <v>177</v>
      </c>
      <c r="B20" s="3" t="s">
        <v>178</v>
      </c>
      <c r="C20" s="3" t="s">
        <v>179</v>
      </c>
      <c r="D20" s="3" t="s">
        <v>180</v>
      </c>
      <c r="E20" s="3"/>
      <c r="F20" s="34"/>
      <c r="G20" s="34"/>
      <c r="H20" s="34"/>
      <c r="I20" s="34"/>
      <c r="J20" s="34"/>
      <c r="K20" s="34"/>
    </row>
    <row r="21" spans="1:11" x14ac:dyDescent="0.2">
      <c r="A21" s="3" t="s">
        <v>166</v>
      </c>
      <c r="B21" s="3">
        <v>3.34</v>
      </c>
      <c r="C21" s="3" t="s">
        <v>181</v>
      </c>
      <c r="D21" s="3" t="s">
        <v>182</v>
      </c>
      <c r="E21" s="3"/>
      <c r="F21" s="34"/>
      <c r="G21" s="34"/>
      <c r="H21" s="34"/>
      <c r="I21" s="34"/>
      <c r="J21" s="34"/>
      <c r="K21" s="34"/>
    </row>
    <row r="22" spans="1:11" x14ac:dyDescent="0.2">
      <c r="A22" s="3" t="s">
        <v>172</v>
      </c>
      <c r="B22" s="3">
        <v>0.17</v>
      </c>
      <c r="C22" s="3" t="s">
        <v>183</v>
      </c>
      <c r="D22" s="3" t="s">
        <v>184</v>
      </c>
      <c r="E22" s="3"/>
      <c r="F22" s="34"/>
      <c r="G22" s="34"/>
      <c r="H22" s="34"/>
      <c r="I22" s="34"/>
      <c r="J22" s="34"/>
      <c r="K22" s="34"/>
    </row>
    <row r="23" spans="1:11" x14ac:dyDescent="0.2">
      <c r="A23" s="3" t="s">
        <v>185</v>
      </c>
      <c r="B23" s="3">
        <v>1.6563911372582396E-4</v>
      </c>
      <c r="C23" s="3"/>
      <c r="D23" s="3" t="s">
        <v>186</v>
      </c>
      <c r="E23" s="3"/>
      <c r="F23" s="34"/>
      <c r="G23" s="34"/>
      <c r="H23" s="34"/>
      <c r="I23" s="34"/>
      <c r="J23" s="34"/>
      <c r="K23" s="34"/>
    </row>
    <row r="24" spans="1:11" x14ac:dyDescent="0.2">
      <c r="A24" s="3" t="s">
        <v>210</v>
      </c>
      <c r="B24" s="3">
        <v>5.658357608673422E-6</v>
      </c>
      <c r="C24" s="3" t="s">
        <v>211</v>
      </c>
      <c r="D24" s="3" t="s">
        <v>212</v>
      </c>
      <c r="E24" s="3"/>
      <c r="F24" s="34"/>
      <c r="G24" s="34"/>
      <c r="H24" s="34"/>
      <c r="I24" s="34"/>
      <c r="J24" s="34"/>
      <c r="K24" s="34"/>
    </row>
    <row r="25" spans="1:11" x14ac:dyDescent="0.2">
      <c r="A25" s="3" t="s">
        <v>213</v>
      </c>
      <c r="B25" s="3">
        <v>14</v>
      </c>
      <c r="C25" s="3" t="s">
        <v>214</v>
      </c>
      <c r="D25" s="3" t="s">
        <v>215</v>
      </c>
      <c r="E25" s="3"/>
      <c r="F25" s="34"/>
      <c r="G25" s="34"/>
      <c r="H25" s="34"/>
      <c r="I25" s="34"/>
      <c r="J25" s="34"/>
      <c r="K25" s="34"/>
    </row>
    <row r="26" spans="1:11" x14ac:dyDescent="0.2">
      <c r="A26" s="3" t="s">
        <v>187</v>
      </c>
      <c r="B26" s="3">
        <v>96</v>
      </c>
      <c r="C26" s="3" t="s">
        <v>188</v>
      </c>
      <c r="D26" s="3"/>
      <c r="E26" s="3"/>
      <c r="F26" s="34"/>
      <c r="G26" s="34"/>
      <c r="H26" s="34"/>
      <c r="I26" s="34"/>
      <c r="J26" s="34"/>
      <c r="K26" s="34"/>
    </row>
    <row r="27" spans="1:11" x14ac:dyDescent="0.2">
      <c r="A27" s="3" t="s">
        <v>103</v>
      </c>
      <c r="B27" s="3"/>
      <c r="C27" s="3"/>
      <c r="D27" s="3"/>
      <c r="E27" s="3"/>
      <c r="F27" s="34"/>
      <c r="G27" s="34"/>
      <c r="H27" s="34"/>
      <c r="I27" s="34"/>
      <c r="J27" s="34"/>
      <c r="K27" s="34"/>
    </row>
    <row r="28" spans="1:11" x14ac:dyDescent="0.2">
      <c r="A28" s="3" t="s">
        <v>216</v>
      </c>
      <c r="B28" s="3">
        <f>SQRT(B22*B25/B24)</f>
        <v>648.54972991601153</v>
      </c>
      <c r="C28" s="3"/>
      <c r="D28" s="3"/>
      <c r="E28" s="3"/>
      <c r="F28" s="34"/>
      <c r="G28" s="34"/>
      <c r="H28" s="34"/>
      <c r="I28" s="34"/>
      <c r="J28" s="34"/>
      <c r="K28" s="34"/>
    </row>
    <row r="29" spans="1:11" x14ac:dyDescent="0.2">
      <c r="A29" s="3" t="s">
        <v>217</v>
      </c>
      <c r="B29" s="3">
        <f>B26/B28</f>
        <v>0.14802257339993372</v>
      </c>
      <c r="C29" s="3"/>
      <c r="D29" s="3"/>
      <c r="E29" s="3"/>
      <c r="F29" s="34"/>
      <c r="G29" s="34"/>
      <c r="H29" s="34"/>
      <c r="I29" s="34"/>
      <c r="J29" s="34"/>
      <c r="K29" s="34"/>
    </row>
    <row r="30" spans="1:11" x14ac:dyDescent="0.2">
      <c r="A30" s="3" t="s">
        <v>226</v>
      </c>
      <c r="B30" s="3">
        <f>B21/(4*PI()*B22)</f>
        <v>1.5634632644909716</v>
      </c>
      <c r="C30" s="3"/>
      <c r="D30" s="3"/>
      <c r="E30" s="3"/>
      <c r="F30" s="34"/>
      <c r="G30" s="34"/>
      <c r="H30" s="34"/>
      <c r="I30" s="34"/>
      <c r="J30" s="34"/>
      <c r="K30" s="34"/>
    </row>
    <row r="31" spans="1:11" x14ac:dyDescent="0.2">
      <c r="A31" s="38" t="s">
        <v>73</v>
      </c>
      <c r="B31" s="3" t="str">
        <f>CONCATENATE("Drawdown history at ",B26," (feet) from pumping well ")</f>
        <v xml:space="preserve">Drawdown history at 96 (feet) from pumping well </v>
      </c>
      <c r="C31" s="3"/>
      <c r="D31" s="3"/>
      <c r="E31" s="3"/>
      <c r="F31" s="34"/>
      <c r="G31" s="34"/>
      <c r="H31" s="34"/>
      <c r="I31" s="34"/>
      <c r="J31" s="34"/>
      <c r="K31" s="34"/>
    </row>
    <row r="32" spans="1:11" x14ac:dyDescent="0.2">
      <c r="A32" s="3" t="s">
        <v>189</v>
      </c>
      <c r="B32" s="3"/>
      <c r="C32" s="3"/>
      <c r="D32" s="3"/>
      <c r="E32" s="3"/>
      <c r="F32" s="34"/>
      <c r="G32" s="34"/>
      <c r="H32" s="34"/>
      <c r="I32" s="34"/>
      <c r="J32" s="34"/>
      <c r="K32" s="34"/>
    </row>
    <row r="33" spans="1:18" ht="130" x14ac:dyDescent="0.2">
      <c r="A33" s="11" t="s">
        <v>206</v>
      </c>
      <c r="B33" s="1" t="s">
        <v>228</v>
      </c>
      <c r="C33" s="1" t="s">
        <v>158</v>
      </c>
      <c r="D33" s="1" t="s">
        <v>217</v>
      </c>
      <c r="E33" s="1" t="s">
        <v>219</v>
      </c>
      <c r="F33" s="1" t="s">
        <v>227</v>
      </c>
      <c r="G33" s="1" t="s">
        <v>202</v>
      </c>
      <c r="H33" s="1" t="s">
        <v>218</v>
      </c>
    </row>
    <row r="34" spans="1:18" x14ac:dyDescent="0.2">
      <c r="A34" s="3">
        <v>5</v>
      </c>
      <c r="B34" s="3">
        <v>96</v>
      </c>
      <c r="C34">
        <f t="shared" ref="C34:C44" si="0">(B34^2*$B$23)/(4*$B$22*A34)</f>
        <v>0.44897943296976273</v>
      </c>
      <c r="D34">
        <f t="shared" ref="D34:D44" si="1">B34/$B$28</f>
        <v>0.14802257339993372</v>
      </c>
      <c r="E34">
        <f t="shared" ref="E34:E44" si="2">LEAKY(C34,D34)</f>
        <v>0.6223919491938279</v>
      </c>
      <c r="F34">
        <f>$B$30*E34</f>
        <v>0.97308694867948109</v>
      </c>
      <c r="G34" s="3">
        <v>0.96</v>
      </c>
      <c r="H34">
        <f>(F34-G34)^2</f>
        <v>1.7126822573937278E-4</v>
      </c>
    </row>
    <row r="35" spans="1:18" x14ac:dyDescent="0.2">
      <c r="A35" s="3">
        <v>28</v>
      </c>
      <c r="B35" s="3">
        <v>96</v>
      </c>
      <c r="C35">
        <f t="shared" si="0"/>
        <v>8.0174898744600487E-2</v>
      </c>
      <c r="D35">
        <f t="shared" si="1"/>
        <v>0.14802257339993372</v>
      </c>
      <c r="E35">
        <f t="shared" si="2"/>
        <v>1.973923943716406</v>
      </c>
      <c r="F35">
        <f t="shared" ref="F35:F44" si="3">$B$30*E35</f>
        <v>3.086157572899745</v>
      </c>
      <c r="G35" s="3">
        <v>3.3</v>
      </c>
      <c r="H35">
        <f t="shared" ref="H35:H44" si="4">(F35-G35)^2</f>
        <v>4.5728583628127789E-2</v>
      </c>
    </row>
    <row r="36" spans="1:18" x14ac:dyDescent="0.2">
      <c r="A36" s="3">
        <v>41</v>
      </c>
      <c r="B36" s="3">
        <v>96</v>
      </c>
      <c r="C36">
        <f t="shared" si="0"/>
        <v>5.4753589386556431E-2</v>
      </c>
      <c r="D36">
        <f t="shared" si="1"/>
        <v>0.14802257339993372</v>
      </c>
      <c r="E36">
        <f t="shared" si="2"/>
        <v>2.3022287866465145</v>
      </c>
      <c r="F36">
        <f t="shared" si="3"/>
        <v>3.5994501343754481</v>
      </c>
      <c r="G36" s="3">
        <v>3.59</v>
      </c>
      <c r="H36">
        <f t="shared" si="4"/>
        <v>8.9305039714029306E-5</v>
      </c>
    </row>
    <row r="37" spans="1:18" x14ac:dyDescent="0.2">
      <c r="A37" s="3">
        <v>60</v>
      </c>
      <c r="B37" s="3">
        <v>96</v>
      </c>
      <c r="C37">
        <f t="shared" si="0"/>
        <v>3.7414952747480232E-2</v>
      </c>
      <c r="D37">
        <f t="shared" si="1"/>
        <v>0.14802257339993372</v>
      </c>
      <c r="E37">
        <f t="shared" si="2"/>
        <v>2.6243590493898648</v>
      </c>
      <c r="F37">
        <f t="shared" si="3"/>
        <v>4.103088966555501</v>
      </c>
      <c r="G37" s="3">
        <v>4.08</v>
      </c>
      <c r="H37">
        <f t="shared" si="4"/>
        <v>5.3310037660104224E-4</v>
      </c>
    </row>
    <row r="38" spans="1:18" x14ac:dyDescent="0.2">
      <c r="A38" s="3">
        <v>75</v>
      </c>
      <c r="B38" s="3">
        <v>96</v>
      </c>
      <c r="C38">
        <f t="shared" si="0"/>
        <v>2.9931962197984181E-2</v>
      </c>
      <c r="D38">
        <f t="shared" si="1"/>
        <v>0.14802257339993372</v>
      </c>
      <c r="E38">
        <f t="shared" si="2"/>
        <v>2.8075081805702715</v>
      </c>
      <c r="F38">
        <f t="shared" si="3"/>
        <v>4.3894359050795053</v>
      </c>
      <c r="G38" s="3">
        <v>4.3899999999999997</v>
      </c>
      <c r="H38">
        <f t="shared" si="4"/>
        <v>3.18203079327541E-7</v>
      </c>
    </row>
    <row r="39" spans="1:18" x14ac:dyDescent="0.2">
      <c r="A39" s="3">
        <v>244</v>
      </c>
      <c r="B39" s="3">
        <v>96</v>
      </c>
      <c r="C39">
        <f t="shared" si="0"/>
        <v>9.2003982165934986E-3</v>
      </c>
      <c r="D39">
        <f t="shared" si="1"/>
        <v>0.14802257339993372</v>
      </c>
      <c r="E39">
        <f t="shared" si="2"/>
        <v>3.6297558229203633</v>
      </c>
      <c r="F39">
        <f t="shared" si="3"/>
        <v>5.6749898882081844</v>
      </c>
      <c r="G39" s="3">
        <v>5.47</v>
      </c>
      <c r="H39">
        <f t="shared" si="4"/>
        <v>4.2020854267604039E-2</v>
      </c>
    </row>
    <row r="40" spans="1:18" x14ac:dyDescent="0.2">
      <c r="A40" s="3">
        <v>493</v>
      </c>
      <c r="B40" s="3">
        <v>96</v>
      </c>
      <c r="C40">
        <f t="shared" si="0"/>
        <v>4.5535439449265998E-3</v>
      </c>
      <c r="D40">
        <f t="shared" si="1"/>
        <v>0.14802257339993372</v>
      </c>
      <c r="E40">
        <f t="shared" si="2"/>
        <v>3.9286780350692441</v>
      </c>
      <c r="F40">
        <f t="shared" si="3"/>
        <v>6.1423437858433365</v>
      </c>
      <c r="G40" s="3">
        <v>5.96</v>
      </c>
      <c r="H40">
        <f t="shared" si="4"/>
        <v>3.3249256235680584E-2</v>
      </c>
      <c r="M40" s="38"/>
      <c r="N40" s="34"/>
      <c r="O40" s="34"/>
      <c r="P40" s="34"/>
      <c r="Q40" s="34"/>
      <c r="R40" s="34"/>
    </row>
    <row r="41" spans="1:18" x14ac:dyDescent="0.2">
      <c r="A41" s="3">
        <v>669</v>
      </c>
      <c r="B41" s="3">
        <v>96</v>
      </c>
      <c r="C41">
        <f t="shared" si="0"/>
        <v>3.3556011432717696E-3</v>
      </c>
      <c r="D41">
        <f t="shared" si="1"/>
        <v>0.14802257339993372</v>
      </c>
      <c r="E41">
        <f t="shared" si="2"/>
        <v>4.0037265476578519</v>
      </c>
      <c r="F41">
        <f t="shared" si="3"/>
        <v>6.2596793783303131</v>
      </c>
      <c r="G41" s="3">
        <v>6.11</v>
      </c>
      <c r="H41">
        <f t="shared" si="4"/>
        <v>2.2403916297348898E-2</v>
      </c>
      <c r="P41" s="34"/>
    </row>
    <row r="42" spans="1:18" x14ac:dyDescent="0.2">
      <c r="A42" s="3">
        <v>958</v>
      </c>
      <c r="B42" s="3">
        <v>96</v>
      </c>
      <c r="C42">
        <f t="shared" si="0"/>
        <v>2.3433164560008493E-3</v>
      </c>
      <c r="D42">
        <f t="shared" si="1"/>
        <v>0.14802257339993372</v>
      </c>
      <c r="E42">
        <f t="shared" si="2"/>
        <v>4.0549986137857754</v>
      </c>
      <c r="F42">
        <f t="shared" si="3"/>
        <v>6.3398413702158729</v>
      </c>
      <c r="G42" s="3">
        <v>6.27</v>
      </c>
      <c r="H42">
        <f t="shared" si="4"/>
        <v>4.8778169936306787E-3</v>
      </c>
    </row>
    <row r="43" spans="1:18" x14ac:dyDescent="0.2">
      <c r="A43" s="3">
        <v>1129</v>
      </c>
      <c r="B43" s="3">
        <v>96</v>
      </c>
      <c r="C43">
        <f t="shared" si="0"/>
        <v>1.9883943001318101E-3</v>
      </c>
      <c r="D43">
        <f t="shared" si="1"/>
        <v>0.14802257339993372</v>
      </c>
      <c r="E43">
        <f t="shared" si="2"/>
        <v>4.0680114150709663</v>
      </c>
      <c r="F43">
        <f t="shared" si="3"/>
        <v>6.3601864069933898</v>
      </c>
      <c r="G43" s="3">
        <v>6.4</v>
      </c>
      <c r="H43">
        <f t="shared" si="4"/>
        <v>1.5851221880960309E-3</v>
      </c>
    </row>
    <row r="44" spans="1:18" x14ac:dyDescent="0.2">
      <c r="A44" s="3">
        <v>1185</v>
      </c>
      <c r="B44" s="3">
        <v>96</v>
      </c>
      <c r="C44">
        <f t="shared" si="0"/>
        <v>1.8944279872141888E-3</v>
      </c>
      <c r="D44">
        <f t="shared" si="1"/>
        <v>0.14802257339993372</v>
      </c>
      <c r="E44">
        <f t="shared" si="2"/>
        <v>4.0708862923495266</v>
      </c>
      <c r="F44">
        <f t="shared" si="3"/>
        <v>6.3646811720083383</v>
      </c>
      <c r="G44" s="3">
        <v>6.42</v>
      </c>
      <c r="H44">
        <f t="shared" si="4"/>
        <v>3.0601727303710491E-3</v>
      </c>
    </row>
    <row r="46" spans="1:18" x14ac:dyDescent="0.2">
      <c r="G46" t="s">
        <v>229</v>
      </c>
      <c r="H46">
        <f>SUM(H34:H44)</f>
        <v>0.15371971418599284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I5"/>
  <sheetViews>
    <sheetView workbookViewId="0">
      <selection activeCell="D10" sqref="D10"/>
    </sheetView>
  </sheetViews>
  <sheetFormatPr baseColWidth="10" defaultRowHeight="16" x14ac:dyDescent="0.2"/>
  <cols>
    <col min="2" max="2" width="59.83203125" customWidth="1"/>
  </cols>
  <sheetData>
    <row r="1" spans="1:9" x14ac:dyDescent="0.2">
      <c r="A1" t="s">
        <v>0</v>
      </c>
    </row>
    <row r="2" spans="1:9" x14ac:dyDescent="0.2">
      <c r="D2" t="s">
        <v>1</v>
      </c>
    </row>
    <row r="3" spans="1:9" ht="65" x14ac:dyDescent="0.2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1" t="s">
        <v>9</v>
      </c>
      <c r="I3" s="1" t="s">
        <v>147</v>
      </c>
    </row>
    <row r="4" spans="1:9" x14ac:dyDescent="0.2">
      <c r="A4" t="s">
        <v>125</v>
      </c>
      <c r="B4" t="s">
        <v>127</v>
      </c>
      <c r="D4">
        <v>1</v>
      </c>
      <c r="H4">
        <f>W(D4)</f>
        <v>0.21938392999999995</v>
      </c>
      <c r="I4" t="s">
        <v>209</v>
      </c>
    </row>
    <row r="5" spans="1:9" x14ac:dyDescent="0.2">
      <c r="A5" t="s">
        <v>126</v>
      </c>
      <c r="B5" t="s">
        <v>127</v>
      </c>
      <c r="D5">
        <v>1</v>
      </c>
      <c r="E5">
        <v>1</v>
      </c>
      <c r="H5">
        <f>LEAKY(D5,E5)</f>
        <v>0.18407607348524879</v>
      </c>
      <c r="I5" t="s">
        <v>281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SELECT-MODEL</vt:lpstr>
      <vt:lpstr>1DINJADR</vt:lpstr>
      <vt:lpstr>1DFPADR</vt:lpstr>
      <vt:lpstr>1DEDADR</vt:lpstr>
      <vt:lpstr>1DIMPAD</vt:lpstr>
      <vt:lpstr>1DCRAD</vt:lpstr>
      <vt:lpstr>1DINJAD</vt:lpstr>
      <vt:lpstr>1DFPAD</vt:lpstr>
      <vt:lpstr>ProgrammerNotes</vt:lpstr>
      <vt:lpstr>1DEDAD</vt:lpstr>
      <vt:lpstr>1DIMPADR</vt:lpstr>
      <vt:lpstr>1DCRADR</vt:lpstr>
      <vt:lpstr>2DFWCRAD-YUAN</vt:lpstr>
      <vt:lpstr>2DFWCRAD-OB</vt:lpstr>
      <vt:lpstr>2DCLSAD-HUNT</vt:lpstr>
      <vt:lpstr>1DRFCAT-HYDM</vt:lpstr>
      <vt:lpstr>1DRFLAH-HYDM</vt:lpstr>
      <vt:lpstr>FunctionList</vt:lpstr>
    </vt:vector>
  </TitlesOfParts>
  <Company>Texas Tech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Theodore Cleveland</dc:creator>
  <cp:lastModifiedBy>Cleveland, Theodore</cp:lastModifiedBy>
  <dcterms:created xsi:type="dcterms:W3CDTF">2015-11-11T16:31:41Z</dcterms:created>
  <dcterms:modified xsi:type="dcterms:W3CDTF">2023-09-20T21:15:21Z</dcterms:modified>
</cp:coreProperties>
</file>